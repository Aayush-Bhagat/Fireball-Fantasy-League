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Game Info" sheetId="1" state="visible" r:id="rId1"/>
    <sheet name="Stats" sheetId="2" state="visible" r:id="rId2"/>
    <sheet name="Pitchin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4">
    <font>
      <name val="Arial"/>
      <color rgb="FF000000"/>
      <sz val="10"/>
      <scheme val="minor"/>
    </font>
    <font>
      <name val="Arial"/>
      <family val="2"/>
      <color theme="1"/>
      <sz val="10"/>
      <scheme val="minor"/>
    </font>
    <font>
      <name val="Arial"/>
      <family val="2"/>
      <color theme="1"/>
      <sz val="22"/>
      <scheme val="minor"/>
    </font>
    <font>
      <name val="Arial"/>
      <family val="2"/>
      <sz val="10"/>
    </font>
    <font>
      <name val="Arial"/>
      <family val="2"/>
      <color theme="1"/>
      <sz val="22"/>
    </font>
    <font>
      <name val="Arial"/>
      <family val="2"/>
      <color rgb="FF000000"/>
      <sz val="10"/>
      <scheme val="minor"/>
    </font>
    <font>
      <name val="Arial"/>
      <family val="2"/>
      <sz val="10"/>
      <scheme val="minor"/>
    </font>
    <font>
      <name val="Arial"/>
      <family val="2"/>
      <color rgb="FF000000"/>
      <sz val="12"/>
      <scheme val="minor"/>
    </font>
    <font>
      <name val="Arial"/>
      <family val="2"/>
      <color rgb="FF000000"/>
      <sz val="48"/>
      <scheme val="minor"/>
    </font>
    <font>
      <name val="Arial"/>
      <family val="2"/>
      <color rgb="FF000000"/>
      <sz val="18"/>
      <scheme val="minor"/>
    </font>
    <font>
      <name val="Arial"/>
      <family val="2"/>
      <color rgb="FF000000"/>
      <sz val="14"/>
      <scheme val="minor"/>
    </font>
    <font>
      <name val="Arial"/>
      <family val="2"/>
      <color rgb="FF000000"/>
      <sz val="36"/>
      <scheme val="minor"/>
    </font>
    <font>
      <name val="Arial"/>
      <family val="2"/>
      <sz val="8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DBCDFF"/>
        <bgColor rgb="FFD9D2E9"/>
      </patternFill>
    </fill>
    <fill>
      <patternFill patternType="solid">
        <fgColor rgb="FFDBCDFF"/>
        <bgColor rgb="FFEA9999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0" borderId="0" pivotButton="0" quotePrefix="0" xfId="0"/>
    <xf numFmtId="0" fontId="1" fillId="2" borderId="5" pivotButton="0" quotePrefix="0" xfId="0"/>
    <xf numFmtId="0" fontId="1" fillId="3" borderId="5" pivotButton="0" quotePrefix="0" xfId="0"/>
    <xf numFmtId="0" fontId="4" fillId="0" borderId="0" applyAlignment="1" pivotButton="0" quotePrefix="0" xfId="0">
      <alignment horizontal="center" vertical="center" textRotation="90"/>
    </xf>
    <xf numFmtId="0" fontId="0" fillId="0" borderId="2" pivotButton="0" quotePrefix="0" xfId="0"/>
    <xf numFmtId="0" fontId="5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  <xf numFmtId="164" fontId="1" fillId="2" borderId="5" pivotButton="0" quotePrefix="0" xfId="0"/>
    <xf numFmtId="164" fontId="1" fillId="3" borderId="5" pivotButton="0" quotePrefix="0" xfId="0"/>
    <xf numFmtId="2" fontId="0" fillId="0" borderId="0" pivotButton="0" quotePrefix="0" xfId="0"/>
    <xf numFmtId="164" fontId="5" fillId="0" borderId="0" pivotButton="0" quotePrefix="0" xfId="0"/>
    <xf numFmtId="0" fontId="8" fillId="0" borderId="0" pivotButton="0" quotePrefix="0" xfId="0"/>
    <xf numFmtId="0" fontId="0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right"/>
    </xf>
    <xf numFmtId="0" fontId="10" fillId="0" borderId="0" pivotButton="0" quotePrefix="0" xfId="0"/>
    <xf numFmtId="0" fontId="7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1" fontId="0" fillId="0" borderId="0" pivotButton="0" quotePrefix="0" xfId="0"/>
    <xf numFmtId="0" fontId="6" fillId="4" borderId="5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5" borderId="5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2" borderId="5" applyAlignment="1" pivotButton="0" quotePrefix="0" xfId="0">
      <alignment horizontal="center"/>
    </xf>
    <xf numFmtId="0" fontId="1" fillId="3" borderId="5" applyAlignment="1" pivotButton="0" quotePrefix="0" xfId="0">
      <alignment horizontal="center"/>
    </xf>
    <xf numFmtId="0" fontId="1" fillId="4" borderId="6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2" fillId="0" borderId="3" applyAlignment="1" pivotButton="0" quotePrefix="0" xfId="0">
      <alignment horizontal="center" vertical="center" textRotation="90" shrinkToFit="1"/>
    </xf>
    <xf numFmtId="0" fontId="3" fillId="0" borderId="3" applyAlignment="1" pivotButton="0" quotePrefix="0" xfId="0">
      <alignment shrinkToFit="1"/>
    </xf>
    <xf numFmtId="0" fontId="3" fillId="0" borderId="4" applyAlignment="1" pivotButton="0" quotePrefix="0" xfId="0">
      <alignment shrinkToFit="1"/>
    </xf>
    <xf numFmtId="0" fontId="4" fillId="0" borderId="1" applyAlignment="1" pivotButton="0" quotePrefix="0" xfId="0">
      <alignment horizontal="center" vertical="center" textRotation="90" shrinkToFit="1"/>
    </xf>
    <xf numFmtId="0" fontId="13" fillId="0" borderId="0" applyAlignment="1" pivotButton="0" quotePrefix="0" xfId="0">
      <alignment horizontal="right"/>
    </xf>
    <xf numFmtId="0" fontId="13" fillId="0" borderId="0" pivotButton="0" quotePrefix="0" xfId="0"/>
    <xf numFmtId="0" fontId="2" fillId="0" borderId="4" applyAlignment="1" pivotButton="0" quotePrefix="0" xfId="0">
      <alignment horizontal="center" vertical="center" textRotation="90" shrinkToFit="1"/>
    </xf>
    <xf numFmtId="0" fontId="0" fillId="0" borderId="3" pivotButton="0" quotePrefix="0" xfId="0"/>
    <xf numFmtId="0" fontId="0" fillId="2" borderId="4" pivotButton="0" quotePrefix="0" xfId="0"/>
    <xf numFmtId="0" fontId="0" fillId="2" borderId="0" pivotButton="0" quotePrefix="0" xfId="0"/>
    <xf numFmtId="0" fontId="4" fillId="0" borderId="5" applyAlignment="1" pivotButton="0" quotePrefix="0" xfId="0">
      <alignment horizontal="center" vertical="center" textRotation="90" shrinkToFit="1"/>
    </xf>
    <xf numFmtId="0" fontId="0" fillId="3" borderId="4" pivotButton="0" quotePrefix="0" xfId="0"/>
    <xf numFmtId="0" fontId="0" fillId="3" borderId="0" pivotButton="0" quotePrefix="0" xfId="0"/>
    <xf numFmtId="0" fontId="1" fillId="2" borderId="0" applyAlignment="1" pivotButton="0" quotePrefix="0" xfId="0">
      <alignment horizontal="center" vertical="center"/>
    </xf>
    <xf numFmtId="1" fontId="0" fillId="2" borderId="0" pivotButton="0" quotePrefix="0" xfId="0"/>
    <xf numFmtId="2" fontId="0" fillId="2" borderId="0" pivotButton="0" quotePrefix="0" xfId="0"/>
    <xf numFmtId="164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1" fontId="0" fillId="3" borderId="0" pivotButton="0" quotePrefix="0" xfId="0"/>
    <xf numFmtId="2" fontId="0" fillId="3" borderId="0" pivotButton="0" quotePrefix="0" xfId="0"/>
    <xf numFmtId="164" fontId="0" fillId="3" borderId="0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I9:T32"/>
  <sheetViews>
    <sheetView tabSelected="1" topLeftCell="F7" workbookViewId="0">
      <selection activeCell="R17" sqref="R17"/>
    </sheetView>
  </sheetViews>
  <sheetFormatPr baseColWidth="8" defaultRowHeight="12.75"/>
  <cols>
    <col width="9.140625" customWidth="1" min="11" max="11"/>
    <col width="9.140625" customWidth="1" min="13" max="13"/>
    <col width="9.140625" customWidth="1" min="15" max="16"/>
    <col width="9.140625" customWidth="1" min="18" max="18"/>
  </cols>
  <sheetData>
    <row r="9" ht="18" customHeight="1">
      <c r="L9" s="30" t="inlineStr">
        <is>
          <t>Stat Tracker Started During Match</t>
        </is>
      </c>
    </row>
    <row r="10" ht="18" customHeight="1">
      <c r="L10" s="31" t="n"/>
    </row>
    <row r="11" ht="59.25" customHeight="1">
      <c r="J11" s="14" t="n"/>
      <c r="L11" s="15" t="inlineStr">
        <is>
          <t>Waluigi Spitballs</t>
        </is>
      </c>
      <c r="N11" s="16" t="inlineStr">
        <is>
          <t>VS</t>
        </is>
      </c>
      <c r="P11" s="13" t="inlineStr">
        <is>
          <t>Mario Fireballs</t>
        </is>
      </c>
    </row>
    <row r="12" ht="40.5" customHeight="1">
      <c r="I12" s="33" t="n">
        <v>4</v>
      </c>
      <c r="P12" s="33" t="n">
        <v>7</v>
      </c>
    </row>
    <row r="13" ht="29.25" customHeight="1">
      <c r="I13" s="32" t="inlineStr">
        <is>
          <t>CPU</t>
        </is>
      </c>
      <c r="P13" s="32" t="inlineStr">
        <is>
          <t>CPU</t>
        </is>
      </c>
    </row>
    <row r="14" ht="18" customHeight="1">
      <c r="I14" s="31" t="inlineStr">
        <is>
          <t>Mario Stadium - Nighttime</t>
        </is>
      </c>
    </row>
    <row r="15" ht="18" customHeight="1">
      <c r="I15" s="18" t="n"/>
      <c r="J15" s="18" t="n"/>
      <c r="K15" s="18" t="n"/>
      <c r="L15" s="18" t="n"/>
      <c r="M15" s="31" t="inlineStr">
        <is>
          <t>Innings - 9</t>
        </is>
      </c>
      <c r="P15" s="18" t="n"/>
      <c r="Q15" s="18" t="n"/>
      <c r="R15" s="18" t="n"/>
      <c r="S15" s="18" t="n"/>
    </row>
    <row r="16" ht="18" customHeight="1">
      <c r="M16" s="31" t="inlineStr">
        <is>
          <t>Mercy - Off</t>
        </is>
      </c>
    </row>
    <row r="17" ht="18" customHeight="1">
      <c r="M17" s="31" t="inlineStr">
        <is>
          <t>Stars - On</t>
        </is>
      </c>
    </row>
    <row r="18" ht="18" customHeight="1">
      <c r="M18" s="31" t="inlineStr">
        <is>
          <t>Items - On</t>
        </is>
      </c>
    </row>
    <row r="19" ht="15" customHeight="1">
      <c r="J19" s="19" t="inlineStr">
        <is>
          <t>Name</t>
        </is>
      </c>
      <c r="K19" s="19" t="inlineStr">
        <is>
          <t>Pos</t>
        </is>
      </c>
      <c r="Q19" s="19" t="inlineStr">
        <is>
          <t>Pos</t>
        </is>
      </c>
      <c r="R19" s="19" t="inlineStr">
        <is>
          <t>Name</t>
        </is>
      </c>
    </row>
    <row r="20" ht="15" customHeight="1">
      <c r="J20" s="17" t="inlineStr">
        <is>
          <t>Dark Bones</t>
        </is>
      </c>
      <c r="K20" s="19" t="inlineStr">
        <is>
          <t>RF</t>
        </is>
      </c>
      <c r="Q20" s="19" t="inlineStr">
        <is>
          <t>C</t>
        </is>
      </c>
      <c r="R20" s="20" t="inlineStr">
        <is>
          <t>Red Toad</t>
        </is>
      </c>
    </row>
    <row r="21" ht="15" customHeight="1">
      <c r="J21" s="17" t="inlineStr">
        <is>
          <t>Yellow Toad</t>
        </is>
      </c>
      <c r="K21" s="19" t="inlineStr">
        <is>
          <t>C</t>
        </is>
      </c>
      <c r="Q21" s="19" t="inlineStr">
        <is>
          <t>P</t>
        </is>
      </c>
      <c r="R21" s="20" t="inlineStr">
        <is>
          <t>Red Pianta</t>
        </is>
      </c>
    </row>
    <row r="22" ht="15" customHeight="1">
      <c r="J22" s="17" t="inlineStr">
        <is>
          <t>King Boo</t>
        </is>
      </c>
      <c r="K22" s="19" t="inlineStr">
        <is>
          <t>1B</t>
        </is>
      </c>
      <c r="Q22" s="19" t="inlineStr">
        <is>
          <t>1B</t>
        </is>
      </c>
      <c r="R22" s="20" t="inlineStr">
        <is>
          <t>Mario</t>
        </is>
      </c>
    </row>
    <row r="23" ht="15" customHeight="1">
      <c r="J23" s="17" t="inlineStr">
        <is>
          <t>Petey Piranha</t>
        </is>
      </c>
      <c r="K23" s="19" t="inlineStr">
        <is>
          <t>SS</t>
        </is>
      </c>
      <c r="Q23" s="19" t="inlineStr">
        <is>
          <t>RF</t>
        </is>
      </c>
      <c r="R23" s="20" t="inlineStr">
        <is>
          <t>Blue Pianta</t>
        </is>
      </c>
    </row>
    <row r="24" ht="15" customHeight="1">
      <c r="J24" s="17" t="inlineStr">
        <is>
          <t>Blooper</t>
        </is>
      </c>
      <c r="K24" s="19" t="inlineStr">
        <is>
          <t>P</t>
        </is>
      </c>
      <c r="Q24" s="19" t="inlineStr">
        <is>
          <t>CF</t>
        </is>
      </c>
      <c r="R24" s="20" t="inlineStr">
        <is>
          <t>Blue Noki</t>
        </is>
      </c>
    </row>
    <row r="25" ht="15" customHeight="1">
      <c r="J25" s="17" t="inlineStr">
        <is>
          <t>Waluigi</t>
        </is>
      </c>
      <c r="K25" s="19" t="inlineStr">
        <is>
          <t>3B</t>
        </is>
      </c>
      <c r="Q25" s="19" t="inlineStr">
        <is>
          <t>LF</t>
        </is>
      </c>
      <c r="R25" s="20" t="inlineStr">
        <is>
          <t>Blue Mii (F)</t>
        </is>
      </c>
    </row>
    <row r="26" ht="15" customHeight="1">
      <c r="J26" s="17" t="inlineStr">
        <is>
          <t>Gray Shy Guy</t>
        </is>
      </c>
      <c r="K26" s="19" t="inlineStr">
        <is>
          <t>2B</t>
        </is>
      </c>
      <c r="Q26" s="19" t="inlineStr">
        <is>
          <t>SS</t>
        </is>
      </c>
      <c r="R26" s="20" t="inlineStr">
        <is>
          <t>Blue Shy Guy</t>
        </is>
      </c>
    </row>
    <row r="27" ht="15" customHeight="1">
      <c r="J27" s="17" t="inlineStr">
        <is>
          <t>Dry Bones</t>
        </is>
      </c>
      <c r="K27" s="19" t="inlineStr">
        <is>
          <t>LF</t>
        </is>
      </c>
      <c r="Q27" s="19" t="inlineStr">
        <is>
          <t>2B</t>
        </is>
      </c>
      <c r="R27" s="20" t="inlineStr">
        <is>
          <t>Blue Yoshi</t>
        </is>
      </c>
    </row>
    <row r="28" ht="15" customHeight="1">
      <c r="J28" s="17" t="inlineStr">
        <is>
          <t>Red Koopa Troopa</t>
        </is>
      </c>
      <c r="K28" s="19" t="inlineStr">
        <is>
          <t>CF</t>
        </is>
      </c>
      <c r="Q28" s="19" t="inlineStr">
        <is>
          <t>3B</t>
        </is>
      </c>
      <c r="R28" s="20" t="inlineStr">
        <is>
          <t>Baby Luigi</t>
        </is>
      </c>
    </row>
    <row r="29" ht="18" customHeight="1">
      <c r="M29" s="31" t="inlineStr">
        <is>
          <t>Scorecard</t>
        </is>
      </c>
    </row>
    <row r="30">
      <c r="K30" t="n">
        <v>1</v>
      </c>
      <c r="L30" t="n">
        <v>2</v>
      </c>
      <c r="M30" t="n">
        <v>3</v>
      </c>
      <c r="N30" t="n">
        <v>4</v>
      </c>
      <c r="O30" t="n">
        <v>5</v>
      </c>
      <c r="P30" t="n">
        <v>6</v>
      </c>
      <c r="Q30" t="n">
        <v>7</v>
      </c>
      <c r="R30" t="n">
        <v>8</v>
      </c>
      <c r="S30" t="n">
        <v>9</v>
      </c>
      <c r="T30" s="38" t="inlineStr">
        <is>
          <t>Final</t>
        </is>
      </c>
    </row>
    <row r="31" ht="15" customHeight="1">
      <c r="J31" s="17" t="inlineStr">
        <is>
          <t>Waluigi Spitballs</t>
        </is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2</v>
      </c>
      <c r="T31" s="39" t="n">
        <v>4</v>
      </c>
    </row>
    <row r="32" ht="15" customHeight="1">
      <c r="J32" s="17" t="inlineStr">
        <is>
          <t>Mario Fireballs</t>
        </is>
      </c>
      <c r="K32" t="n">
        <v>0</v>
      </c>
      <c r="L32" t="n">
        <v>0</v>
      </c>
      <c r="M32" t="n">
        <v>4</v>
      </c>
      <c r="N32" t="n">
        <v>0</v>
      </c>
      <c r="O32" t="n">
        <v>1</v>
      </c>
      <c r="P32" t="n">
        <v>0</v>
      </c>
      <c r="Q32" t="n">
        <v>2</v>
      </c>
      <c r="R32" t="n">
        <v>0</v>
      </c>
      <c r="S32" t="n">
        <v>0</v>
      </c>
      <c r="T32" s="39" t="n">
        <v>7</v>
      </c>
    </row>
  </sheetData>
  <mergeCells count="12">
    <mergeCell ref="I13:L13"/>
    <mergeCell ref="L9:P9"/>
    <mergeCell ref="P13:S13"/>
    <mergeCell ref="M18:O18"/>
    <mergeCell ref="I12:L12"/>
    <mergeCell ref="L10:P10"/>
    <mergeCell ref="M17:O17"/>
    <mergeCell ref="P12:S12"/>
    <mergeCell ref="M16:O16"/>
    <mergeCell ref="M29:P29"/>
    <mergeCell ref="I14:S14"/>
    <mergeCell ref="M15:O15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Sheet1">
    <outlinePr summaryBelow="0" summaryRight="0"/>
    <pageSetUpPr/>
  </sheetPr>
  <dimension ref="A1:AN29"/>
  <sheetViews>
    <sheetView zoomScaleNormal="100" workbookViewId="0">
      <selection activeCell="C29" sqref="C29"/>
    </sheetView>
  </sheetViews>
  <sheetFormatPr baseColWidth="8" defaultColWidth="12.5703125" defaultRowHeight="15.75" customHeight="1"/>
  <cols>
    <col width="6.5703125" bestFit="1" customWidth="1" min="1" max="1"/>
    <col width="23.85546875" customWidth="1" min="2" max="2"/>
    <col width="16" customWidth="1" min="3" max="3"/>
    <col width="7.28515625" bestFit="1" customWidth="1" min="4" max="4"/>
    <col width="16.85546875" customWidth="1" min="5" max="5"/>
    <col width="5.28515625" bestFit="1" customWidth="1" min="6" max="6"/>
    <col width="4.28515625" bestFit="1" customWidth="1" min="7" max="7"/>
    <col width="4" bestFit="1" customWidth="1" min="8" max="8"/>
    <col width="9.42578125" bestFit="1" customWidth="1" min="9" max="9"/>
    <col width="6.28515625" bestFit="1" customWidth="1" min="10" max="10"/>
    <col width="11" bestFit="1" customWidth="1" min="11" max="11"/>
    <col width="7.140625" bestFit="1" customWidth="1" min="12" max="12"/>
    <col width="7.7109375" bestFit="1" customWidth="1" min="13" max="13"/>
    <col width="6.42578125" bestFit="1" customWidth="1" min="14" max="14"/>
    <col width="10.7109375" bestFit="1" customWidth="1" min="15" max="15"/>
    <col width="10.7109375" customWidth="1" min="16" max="18"/>
    <col width="12.5703125" customWidth="1" min="19" max="19"/>
    <col width="14.140625" bestFit="1" customWidth="1" min="20" max="20"/>
    <col width="10.85546875" bestFit="1" customWidth="1" min="21" max="21"/>
    <col width="10.85546875" customWidth="1" min="22" max="22"/>
    <col width="8.28515625" bestFit="1" customWidth="1" min="23" max="23"/>
    <col width="10.42578125" customWidth="1" min="24" max="24"/>
    <col width="14.140625" bestFit="1" customWidth="1" min="25" max="25"/>
    <col width="10.5703125" bestFit="1" customWidth="1" min="26" max="26"/>
    <col width="8.5703125" customWidth="1" min="27" max="27"/>
    <col width="14.42578125" bestFit="1" customWidth="1" min="28" max="28"/>
    <col width="14.42578125" customWidth="1" min="29" max="29"/>
    <col width="12.140625" bestFit="1" customWidth="1" min="30" max="30"/>
    <col width="14.28515625" bestFit="1" customWidth="1" min="31" max="31"/>
    <col width="14.28515625" customWidth="1" min="32" max="32"/>
    <col width="7.42578125" bestFit="1" customWidth="1" min="33" max="33"/>
    <col width="7.28515625" bestFit="1" customWidth="1" min="34" max="34"/>
    <col width="19.140625" customWidth="1" min="35" max="35"/>
    <col width="19.5703125" customWidth="1" min="36" max="36"/>
    <col width="12" bestFit="1" customWidth="1" min="37" max="37"/>
    <col width="10.7109375" bestFit="1" customWidth="1" min="38" max="38"/>
    <col width="8.85546875" customWidth="1" min="39" max="39"/>
    <col hidden="1" width="13" customWidth="1" min="40" max="40"/>
  </cols>
  <sheetData>
    <row r="1" ht="12.75" customFormat="1" customHeight="1" s="30">
      <c r="A1" s="24" t="inlineStr">
        <is>
          <t>Team</t>
        </is>
      </c>
      <c r="B1" s="24" t="inlineStr">
        <is>
          <t>Player</t>
        </is>
      </c>
      <c r="C1" s="24" t="inlineStr">
        <is>
          <t>Position</t>
        </is>
      </c>
      <c r="D1" s="24" t="inlineStr">
        <is>
          <t>At-Bats</t>
        </is>
      </c>
      <c r="E1" s="24" t="inlineStr">
        <is>
          <t>Plate Appearances</t>
        </is>
      </c>
      <c r="F1" s="24" t="inlineStr">
        <is>
          <t>Runs</t>
        </is>
      </c>
      <c r="G1" s="24" t="inlineStr">
        <is>
          <t>Hits</t>
        </is>
      </c>
      <c r="H1" s="24" t="inlineStr">
        <is>
          <t>RBI</t>
        </is>
      </c>
      <c r="I1" s="24" t="inlineStr">
        <is>
          <t>Strikeouts</t>
        </is>
      </c>
      <c r="J1" s="24" t="inlineStr">
        <is>
          <t>Walks</t>
        </is>
      </c>
      <c r="K1" s="24" t="inlineStr">
        <is>
          <t>Hit By Pitch</t>
        </is>
      </c>
      <c r="L1" s="24" t="inlineStr">
        <is>
          <t>Singles</t>
        </is>
      </c>
      <c r="M1" s="24" t="inlineStr">
        <is>
          <t>Doubles</t>
        </is>
      </c>
      <c r="N1" s="24" t="inlineStr">
        <is>
          <t>Triples</t>
        </is>
      </c>
      <c r="O1" s="24" t="inlineStr">
        <is>
          <t>Home Runs</t>
        </is>
      </c>
      <c r="P1" s="24" t="inlineStr">
        <is>
          <t>1HR</t>
        </is>
      </c>
      <c r="Q1" s="24" t="inlineStr">
        <is>
          <t>2HR</t>
        </is>
      </c>
      <c r="R1" s="24" t="inlineStr">
        <is>
          <t>3HR</t>
        </is>
      </c>
      <c r="S1" s="24" t="inlineStr">
        <is>
          <t>Grand Slams</t>
        </is>
      </c>
      <c r="T1" s="23" t="inlineStr">
        <is>
          <t>ITP Home Runs</t>
        </is>
      </c>
      <c r="U1" s="24" t="inlineStr">
        <is>
          <t>Total Bases</t>
        </is>
      </c>
      <c r="V1" s="24" t="inlineStr">
        <is>
          <t>Sac Flys</t>
        </is>
      </c>
      <c r="W1" s="24" t="inlineStr">
        <is>
          <t>Star Hits</t>
        </is>
      </c>
      <c r="X1" s="24" t="inlineStr">
        <is>
          <t>Stars Used</t>
        </is>
      </c>
      <c r="Y1" s="24" t="inlineStr">
        <is>
          <t>Batting Average</t>
        </is>
      </c>
      <c r="Z1" s="24" t="inlineStr">
        <is>
          <t>On Base %</t>
        </is>
      </c>
      <c r="AA1" s="24" t="inlineStr">
        <is>
          <t>Slug %</t>
        </is>
      </c>
      <c r="AB1" s="24" t="inlineStr">
        <is>
          <t>On Base + Slug</t>
        </is>
      </c>
      <c r="AC1" s="24" t="inlineStr">
        <is>
          <t>Star Slug %</t>
        </is>
      </c>
      <c r="AD1" s="24" t="inlineStr">
        <is>
          <t>Stolen Bases</t>
        </is>
      </c>
      <c r="AE1" s="24" t="inlineStr">
        <is>
          <t>Caught Stealing</t>
        </is>
      </c>
      <c r="AF1" s="24" t="inlineStr">
        <is>
          <t>Steal Attempts</t>
        </is>
      </c>
      <c r="AG1" s="24" t="inlineStr">
        <is>
          <t>Putouts</t>
        </is>
      </c>
      <c r="AH1" s="24" t="inlineStr">
        <is>
          <t>Assists</t>
        </is>
      </c>
      <c r="AI1" s="24" t="inlineStr">
        <is>
          <t>Buddy Jump Putouts</t>
        </is>
      </c>
      <c r="AJ1" s="24" t="inlineStr">
        <is>
          <t>Buddy Jump Attempts</t>
        </is>
      </c>
      <c r="AK1" s="24" t="inlineStr">
        <is>
          <t>Double Plays</t>
        </is>
      </c>
      <c r="AL1" s="24" t="inlineStr">
        <is>
          <t>Triple Plays</t>
        </is>
      </c>
      <c r="AM1" s="25" t="inlineStr">
        <is>
          <t>Bobbles</t>
        </is>
      </c>
      <c r="AN1" t="inlineStr">
        <is>
          <t>Star Bases Helper</t>
        </is>
      </c>
    </row>
    <row r="2" ht="12.75" customHeight="1">
      <c r="A2" s="40" t="inlineStr">
        <is>
          <t>Spitballs</t>
        </is>
      </c>
      <c r="B2" s="26" t="inlineStr">
        <is>
          <t>Dark Bones</t>
        </is>
      </c>
      <c r="C2" s="30" t="inlineStr">
        <is>
          <t>RF</t>
        </is>
      </c>
      <c r="D2" t="n">
        <v>4</v>
      </c>
      <c r="E2" t="n">
        <v>4</v>
      </c>
      <c r="F2" s="1" t="n">
        <v>0</v>
      </c>
      <c r="G2" t="n">
        <v>2</v>
      </c>
      <c r="H2" t="n">
        <v>2</v>
      </c>
      <c r="I2" t="n">
        <v>0</v>
      </c>
      <c r="J2" t="n">
        <v>0</v>
      </c>
      <c r="K2" t="n">
        <v>0</v>
      </c>
      <c r="L2" t="n">
        <v>2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0</v>
      </c>
      <c r="W2" t="n">
        <v>0</v>
      </c>
      <c r="X2" t="n">
        <v>0</v>
      </c>
      <c r="Y2" s="8" t="n">
        <v>0.5</v>
      </c>
      <c r="Z2" s="8" t="n">
        <v>0.5</v>
      </c>
      <c r="AA2" s="8" t="n">
        <v>0.5</v>
      </c>
      <c r="AB2" s="8" t="n">
        <v>1</v>
      </c>
      <c r="AC2" s="8" t="n"/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s="5" t="n">
        <v>0</v>
      </c>
      <c r="AN2" t="n">
        <v>0</v>
      </c>
    </row>
    <row r="3" ht="12.75" customHeight="1">
      <c r="A3" s="41" t="n"/>
      <c r="B3" s="26" t="inlineStr">
        <is>
          <t>Yellow Toad</t>
        </is>
      </c>
      <c r="C3" s="30" t="inlineStr">
        <is>
          <t>C</t>
        </is>
      </c>
      <c r="D3" t="n">
        <v>4</v>
      </c>
      <c r="E3" t="n">
        <v>4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0</v>
      </c>
      <c r="Y3" s="8" t="n">
        <v>0.25</v>
      </c>
      <c r="Z3" s="8" t="n">
        <v>0.25</v>
      </c>
      <c r="AA3" s="8" t="n">
        <v>0.25</v>
      </c>
      <c r="AB3" s="8" t="n">
        <v>0.5</v>
      </c>
      <c r="AC3" s="8" t="n"/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s="5" t="n">
        <v>0</v>
      </c>
      <c r="AN3" t="n">
        <v>0</v>
      </c>
    </row>
    <row r="4" ht="15.75" customHeight="1">
      <c r="A4" s="41" t="n"/>
      <c r="B4" s="26" t="inlineStr">
        <is>
          <t>King Boo</t>
        </is>
      </c>
      <c r="C4" s="30" t="inlineStr">
        <is>
          <t>1B, P, SS</t>
        </is>
      </c>
      <c r="D4" t="n">
        <v>4</v>
      </c>
      <c r="E4" t="n">
        <v>4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s="1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s="8" t="n">
        <v>0.25</v>
      </c>
      <c r="Z4" s="8" t="n">
        <v>0.25</v>
      </c>
      <c r="AA4" s="8" t="n">
        <v>0.25</v>
      </c>
      <c r="AB4" s="8" t="n">
        <v>0.5</v>
      </c>
      <c r="AC4" s="8" t="n"/>
      <c r="AD4" t="n">
        <v>0</v>
      </c>
      <c r="AE4" t="n">
        <v>0</v>
      </c>
      <c r="AF4" t="n">
        <v>0</v>
      </c>
      <c r="AG4" t="n">
        <v>7</v>
      </c>
      <c r="AH4" t="n">
        <v>1</v>
      </c>
      <c r="AI4" t="n">
        <v>0</v>
      </c>
      <c r="AJ4" t="n">
        <v>0</v>
      </c>
      <c r="AK4" t="n">
        <v>1</v>
      </c>
      <c r="AL4" t="n">
        <v>0</v>
      </c>
      <c r="AM4" s="5" t="n">
        <v>0</v>
      </c>
      <c r="AN4" t="n">
        <v>0</v>
      </c>
    </row>
    <row r="5" ht="12.75" customHeight="1">
      <c r="A5" s="41" t="n"/>
      <c r="B5" s="26" t="inlineStr">
        <is>
          <t>Petey Piranha</t>
        </is>
      </c>
      <c r="C5" s="30" t="inlineStr">
        <is>
          <t>SS, P, CF</t>
        </is>
      </c>
      <c r="D5" t="n">
        <v>3</v>
      </c>
      <c r="E5" t="n">
        <v>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s="8" t="n">
        <v>0</v>
      </c>
      <c r="Z5" s="8" t="n">
        <v>0</v>
      </c>
      <c r="AA5" s="8" t="n">
        <v>0</v>
      </c>
      <c r="AB5" s="8" t="n">
        <v>0</v>
      </c>
      <c r="AC5" s="8" t="n"/>
      <c r="AD5" t="n">
        <v>0</v>
      </c>
      <c r="AE5" t="n">
        <v>0</v>
      </c>
      <c r="AF5" t="n">
        <v>0</v>
      </c>
      <c r="AG5" t="n">
        <v>4</v>
      </c>
      <c r="AH5" t="n">
        <v>6</v>
      </c>
      <c r="AI5" t="n">
        <v>0</v>
      </c>
      <c r="AJ5" t="n">
        <v>0</v>
      </c>
      <c r="AK5" t="n">
        <v>4</v>
      </c>
      <c r="AL5" t="n">
        <v>0</v>
      </c>
      <c r="AM5" s="5" t="n">
        <v>1</v>
      </c>
      <c r="AN5" t="n">
        <v>0</v>
      </c>
    </row>
    <row r="6" ht="12.75" customHeight="1">
      <c r="A6" s="41" t="n"/>
      <c r="B6" s="26" t="inlineStr">
        <is>
          <t>Blooper</t>
        </is>
      </c>
      <c r="C6" s="30" t="inlineStr">
        <is>
          <t>P, 3B</t>
        </is>
      </c>
      <c r="D6" t="n">
        <v>3</v>
      </c>
      <c r="E6" t="n">
        <v>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s="8" t="n">
        <v>0</v>
      </c>
      <c r="Z6" s="8" t="n">
        <v>0</v>
      </c>
      <c r="AA6" s="8" t="n">
        <v>0</v>
      </c>
      <c r="AB6" s="8" t="n">
        <v>0</v>
      </c>
      <c r="AC6" s="8" t="n"/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s="5" t="n">
        <v>0</v>
      </c>
      <c r="AN6" t="n">
        <v>0</v>
      </c>
    </row>
    <row r="7" ht="12.75" customHeight="1">
      <c r="A7" s="41" t="n"/>
      <c r="B7" s="26" t="inlineStr">
        <is>
          <t>Waluigi</t>
        </is>
      </c>
      <c r="C7" s="30" t="inlineStr">
        <is>
          <t>3B, P, 1B</t>
        </is>
      </c>
      <c r="D7" t="n">
        <v>3</v>
      </c>
      <c r="E7" t="n">
        <v>3</v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s="8" t="n">
        <v>0.3333333333333333</v>
      </c>
      <c r="Z7" s="8" t="n">
        <v>0.3333333333333333</v>
      </c>
      <c r="AA7" s="8" t="n">
        <v>0.3333333333333333</v>
      </c>
      <c r="AB7" s="8" t="n">
        <v>0.6666666666666666</v>
      </c>
      <c r="AC7" s="8" t="n"/>
      <c r="AD7" t="n">
        <v>0</v>
      </c>
      <c r="AE7" t="n">
        <v>0</v>
      </c>
      <c r="AF7" t="n">
        <v>0</v>
      </c>
      <c r="AG7" t="n">
        <v>3</v>
      </c>
      <c r="AH7" t="n">
        <v>0</v>
      </c>
      <c r="AI7" t="n">
        <v>0</v>
      </c>
      <c r="AJ7" t="n">
        <v>0</v>
      </c>
      <c r="AK7" t="n">
        <v>2</v>
      </c>
      <c r="AL7" t="n">
        <v>0</v>
      </c>
      <c r="AM7" s="5" t="n">
        <v>0</v>
      </c>
      <c r="AN7" t="n">
        <v>0</v>
      </c>
    </row>
    <row r="8" ht="12.75" customHeight="1">
      <c r="A8" s="41" t="n"/>
      <c r="B8" s="26" t="inlineStr">
        <is>
          <t>Gray Shy Guy</t>
        </is>
      </c>
      <c r="C8" s="30" t="inlineStr">
        <is>
          <t>2B</t>
        </is>
      </c>
      <c r="D8" t="n">
        <v>3</v>
      </c>
      <c r="E8" t="n">
        <v>3</v>
      </c>
      <c r="F8" t="n">
        <v>1</v>
      </c>
      <c r="G8" t="n">
        <v>3</v>
      </c>
      <c r="H8" t="n">
        <v>0</v>
      </c>
      <c r="I8" t="n">
        <v>0</v>
      </c>
      <c r="J8" t="n">
        <v>0</v>
      </c>
      <c r="K8" t="n">
        <v>0</v>
      </c>
      <c r="L8" t="n">
        <v>3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3</v>
      </c>
      <c r="V8" t="n">
        <v>0</v>
      </c>
      <c r="W8" t="n">
        <v>0</v>
      </c>
      <c r="X8" t="n">
        <v>0</v>
      </c>
      <c r="Y8" s="8" t="n">
        <v>1</v>
      </c>
      <c r="Z8" s="8" t="n">
        <v>1</v>
      </c>
      <c r="AA8" s="8" t="n">
        <v>1</v>
      </c>
      <c r="AB8" s="8" t="n">
        <v>2</v>
      </c>
      <c r="AC8" s="8" t="n"/>
      <c r="AD8" t="n">
        <v>0</v>
      </c>
      <c r="AE8" t="n">
        <v>0</v>
      </c>
      <c r="AF8" t="n">
        <v>0</v>
      </c>
      <c r="AG8" t="n">
        <v>3</v>
      </c>
      <c r="AH8" t="n">
        <v>8</v>
      </c>
      <c r="AI8" t="n">
        <v>0</v>
      </c>
      <c r="AJ8" t="n">
        <v>0</v>
      </c>
      <c r="AK8" t="n">
        <v>4</v>
      </c>
      <c r="AL8" t="n">
        <v>0</v>
      </c>
      <c r="AM8" s="5" t="n">
        <v>0</v>
      </c>
      <c r="AN8" t="n">
        <v>0</v>
      </c>
    </row>
    <row r="9" ht="12.75" customHeight="1">
      <c r="A9" s="41" t="n"/>
      <c r="B9" s="26" t="inlineStr">
        <is>
          <t>Dry Bones</t>
        </is>
      </c>
      <c r="C9" s="30" t="inlineStr">
        <is>
          <t>LF</t>
        </is>
      </c>
      <c r="D9" t="n">
        <v>4</v>
      </c>
      <c r="E9" t="n">
        <v>4</v>
      </c>
      <c r="F9" t="n">
        <v>1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0</v>
      </c>
      <c r="Y9" s="8" t="n">
        <v>0.25</v>
      </c>
      <c r="Z9" s="8" t="n">
        <v>0.25</v>
      </c>
      <c r="AA9" s="8" t="n">
        <v>0.25</v>
      </c>
      <c r="AB9" s="8" t="n">
        <v>0.5</v>
      </c>
      <c r="AC9" s="8" t="n"/>
      <c r="AD9" t="n">
        <v>0</v>
      </c>
      <c r="AE9" t="n">
        <v>0</v>
      </c>
      <c r="AF9" t="n">
        <v>0</v>
      </c>
      <c r="AG9" t="n">
        <v>3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s="5" t="n">
        <v>0</v>
      </c>
      <c r="AN9" t="n">
        <v>0</v>
      </c>
    </row>
    <row r="10" ht="12.75" customHeight="1">
      <c r="A10" s="41" t="n"/>
      <c r="B10" s="26" t="inlineStr">
        <is>
          <t>Red Koopa Troopa</t>
        </is>
      </c>
      <c r="C10" s="30" t="inlineStr">
        <is>
          <t>CF, P</t>
        </is>
      </c>
      <c r="D10" t="n">
        <v>4</v>
      </c>
      <c r="E10" t="n">
        <v>4</v>
      </c>
      <c r="F10" t="n">
        <v>0</v>
      </c>
      <c r="G10" t="n">
        <v>2</v>
      </c>
      <c r="H10" t="n">
        <v>1</v>
      </c>
      <c r="I10" t="n">
        <v>1</v>
      </c>
      <c r="J10" t="n">
        <v>0</v>
      </c>
      <c r="K10" t="n">
        <v>0</v>
      </c>
      <c r="L10" t="n">
        <v>2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0</v>
      </c>
      <c r="W10" t="n">
        <v>0</v>
      </c>
      <c r="X10" t="n">
        <v>0</v>
      </c>
      <c r="Y10" s="8" t="n">
        <v>0.5</v>
      </c>
      <c r="Z10" s="8" t="n">
        <v>0.5</v>
      </c>
      <c r="AA10" s="8" t="n">
        <v>0.5</v>
      </c>
      <c r="AB10" s="8" t="n">
        <v>1</v>
      </c>
      <c r="AC10" s="8" t="n"/>
      <c r="AD10" t="n">
        <v>0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s="5" t="n">
        <v>0</v>
      </c>
      <c r="AN10" t="n">
        <v>0</v>
      </c>
    </row>
    <row r="11" ht="12.75" customHeight="1">
      <c r="A11" s="42" t="n"/>
      <c r="B11" s="27" t="inlineStr">
        <is>
          <t>Spitballs</t>
        </is>
      </c>
      <c r="C11" s="27" t="inlineStr">
        <is>
          <t>N/A</t>
        </is>
      </c>
      <c r="D11" s="2">
        <f>SUM(D2:D10)</f>
        <v/>
      </c>
      <c r="E11" s="2">
        <f>SUM(E2:E10)</f>
        <v/>
      </c>
      <c r="F11" s="2">
        <f>SUM(F2:F10)</f>
        <v/>
      </c>
      <c r="G11" s="2">
        <f>SUM(G2:G10)</f>
        <v/>
      </c>
      <c r="H11" s="2">
        <f>SUM(H2:H10)</f>
        <v/>
      </c>
      <c r="I11" s="2">
        <f>SUM(I2:I10)</f>
        <v/>
      </c>
      <c r="J11" s="2">
        <f>SUM(J2:J10)</f>
        <v/>
      </c>
      <c r="K11" s="2">
        <f>SUM(K2:K10)</f>
        <v/>
      </c>
      <c r="L11" s="2">
        <f>SUM(L2:L10)</f>
        <v/>
      </c>
      <c r="M11" s="2">
        <f>SUM(M2:M10)</f>
        <v/>
      </c>
      <c r="N11" s="2">
        <f>SUM(N2:N10)</f>
        <v/>
      </c>
      <c r="O11" s="2">
        <f>SUM(O2:O10)</f>
        <v/>
      </c>
      <c r="P11" s="2">
        <f>SUM(P2:P10)</f>
        <v/>
      </c>
      <c r="Q11" s="2">
        <f>SUM(Q2:Q10)</f>
        <v/>
      </c>
      <c r="R11" s="2">
        <f>SUM(R2:R10)</f>
        <v/>
      </c>
      <c r="S11" s="2">
        <f>SUM(S2:S10)</f>
        <v/>
      </c>
      <c r="T11" s="2">
        <f>SUM(T2:T10)</f>
        <v/>
      </c>
      <c r="U11" s="2">
        <f>SUM(U2:U10)</f>
        <v/>
      </c>
      <c r="V11" s="2">
        <f>SUM(V2:V10)</f>
        <v/>
      </c>
      <c r="W11" s="2">
        <f>SUM(W2:W10)</f>
        <v/>
      </c>
      <c r="X11" s="2">
        <f>SUM(X2:X10)</f>
        <v/>
      </c>
      <c r="Y11" s="9">
        <f>IF(D11=0,0,G11/D11)</f>
        <v/>
      </c>
      <c r="Z11" s="9">
        <f>IF(E11=0,0,(G11+J11+K11)/E11)</f>
        <v/>
      </c>
      <c r="AA11" s="9">
        <f>IF(D11=0,0,U11/D11)</f>
        <v/>
      </c>
      <c r="AB11" s="9">
        <f>Z11+AA11</f>
        <v/>
      </c>
      <c r="AC11" s="9">
        <f>IF(X11=0,0,SUM(AN2:AN10)/X11)</f>
        <v/>
      </c>
      <c r="AD11" s="2">
        <f>SUM(AD2:AD10)</f>
        <v/>
      </c>
      <c r="AE11" s="2">
        <f>SUM(AE2:AE10)</f>
        <v/>
      </c>
      <c r="AF11" s="2">
        <f>SUM(AF2:AF10)</f>
        <v/>
      </c>
      <c r="AG11" s="2">
        <f>SUM(AG2:AG10)</f>
        <v/>
      </c>
      <c r="AH11" s="2">
        <f>SUM(AH2:AH10)</f>
        <v/>
      </c>
      <c r="AI11" s="2">
        <f>SUM(AI2:AI10)</f>
        <v/>
      </c>
      <c r="AJ11" s="2">
        <f>SUM(AJ2:AJ10)</f>
        <v/>
      </c>
      <c r="AK11" s="2">
        <f>SUM(AK2:AK10)</f>
        <v/>
      </c>
      <c r="AL11" s="2">
        <f>SUM(AL2:AL10)</f>
        <v/>
      </c>
      <c r="AM11" s="2">
        <f>SUM(AM2:AM10)</f>
        <v/>
      </c>
      <c r="AN11" s="43" t="n"/>
    </row>
    <row r="12" ht="12.75" customHeight="1">
      <c r="A12" s="44" t="inlineStr">
        <is>
          <t>Fireballs</t>
        </is>
      </c>
      <c r="B12" s="26" t="inlineStr">
        <is>
          <t>Red Toad</t>
        </is>
      </c>
      <c r="C12" s="30" t="inlineStr">
        <is>
          <t>C</t>
        </is>
      </c>
      <c r="D12" t="n">
        <v>4</v>
      </c>
      <c r="E12" t="n">
        <v>4</v>
      </c>
      <c r="F12" t="n">
        <v>3</v>
      </c>
      <c r="G12" t="n">
        <v>3</v>
      </c>
      <c r="H12" t="n">
        <v>0</v>
      </c>
      <c r="I12" t="n">
        <v>0</v>
      </c>
      <c r="J12" t="n">
        <v>0</v>
      </c>
      <c r="K12" t="n">
        <v>0</v>
      </c>
      <c r="L12" t="n">
        <v>3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</v>
      </c>
      <c r="V12" t="n">
        <v>0</v>
      </c>
      <c r="W12" t="n">
        <v>0</v>
      </c>
      <c r="X12" t="n">
        <v>0</v>
      </c>
      <c r="Y12" s="8" t="n">
        <v>0.75</v>
      </c>
      <c r="Z12" s="8" t="n">
        <v>0.75</v>
      </c>
      <c r="AA12" s="8" t="n">
        <v>0.75</v>
      </c>
      <c r="AB12" s="8" t="n">
        <v>1.5</v>
      </c>
      <c r="AC12" s="8" t="n"/>
      <c r="AD12" t="n">
        <v>0</v>
      </c>
      <c r="AE12" t="n">
        <v>0</v>
      </c>
      <c r="AF12" t="n">
        <v>0</v>
      </c>
      <c r="AG12" t="n">
        <v>2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s="5" t="n">
        <v>0</v>
      </c>
      <c r="AN12" t="n">
        <v>0</v>
      </c>
    </row>
    <row r="13" ht="12.75" customHeight="1">
      <c r="A13" s="41" t="n"/>
      <c r="B13" s="26" t="inlineStr">
        <is>
          <t>Red Pianta</t>
        </is>
      </c>
      <c r="C13" s="30" t="inlineStr">
        <is>
          <t>P</t>
        </is>
      </c>
      <c r="D13" t="n">
        <v>4</v>
      </c>
      <c r="E13" t="n">
        <v>4</v>
      </c>
      <c r="F13" t="n">
        <v>2</v>
      </c>
      <c r="G13" t="n">
        <v>3</v>
      </c>
      <c r="H13" t="n">
        <v>0</v>
      </c>
      <c r="I13" t="n">
        <v>0</v>
      </c>
      <c r="J13" t="n">
        <v>0</v>
      </c>
      <c r="K13" t="n">
        <v>0</v>
      </c>
      <c r="L13" t="n">
        <v>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</v>
      </c>
      <c r="V13" t="n">
        <v>0</v>
      </c>
      <c r="W13" t="n">
        <v>0</v>
      </c>
      <c r="X13" t="n">
        <v>0</v>
      </c>
      <c r="Y13" s="8" t="n">
        <v>0.75</v>
      </c>
      <c r="Z13" s="8" t="n">
        <v>0.75</v>
      </c>
      <c r="AA13" s="8" t="n">
        <v>0.75</v>
      </c>
      <c r="AB13" s="8" t="n">
        <v>1.5</v>
      </c>
      <c r="AC13" s="8" t="n"/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s="5" t="n">
        <v>0</v>
      </c>
      <c r="AN13" t="n">
        <v>0</v>
      </c>
    </row>
    <row r="14" ht="12.75" customHeight="1">
      <c r="A14" s="41" t="n"/>
      <c r="B14" s="26" t="inlineStr">
        <is>
          <t>Mario</t>
        </is>
      </c>
      <c r="C14" s="30" t="inlineStr">
        <is>
          <t>1B</t>
        </is>
      </c>
      <c r="D14" t="n">
        <v>3</v>
      </c>
      <c r="E14" t="n">
        <v>3</v>
      </c>
      <c r="F14" t="n">
        <v>1</v>
      </c>
      <c r="G14" t="n">
        <v>2</v>
      </c>
      <c r="H14" t="n">
        <v>3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</v>
      </c>
      <c r="V14" t="n">
        <v>0</v>
      </c>
      <c r="W14" t="n">
        <v>0</v>
      </c>
      <c r="X14" t="n">
        <v>0</v>
      </c>
      <c r="Y14" s="8" t="n">
        <v>0.6666666666666666</v>
      </c>
      <c r="Z14" s="8" t="n">
        <v>0.6666666666666666</v>
      </c>
      <c r="AA14" s="8" t="n">
        <v>1.333333333333333</v>
      </c>
      <c r="AB14" s="8" t="n">
        <v>2</v>
      </c>
      <c r="AC14" s="8" t="n"/>
      <c r="AD14" t="n">
        <v>0</v>
      </c>
      <c r="AE14" t="n">
        <v>0</v>
      </c>
      <c r="AF14" t="n">
        <v>0</v>
      </c>
      <c r="AG14" t="n">
        <v>5</v>
      </c>
      <c r="AH14" t="n">
        <v>0</v>
      </c>
      <c r="AI14" t="n">
        <v>0</v>
      </c>
      <c r="AJ14" t="n">
        <v>0</v>
      </c>
      <c r="AK14" t="n">
        <v>1</v>
      </c>
      <c r="AL14" t="n">
        <v>0</v>
      </c>
      <c r="AM14" s="5" t="n">
        <v>0</v>
      </c>
      <c r="AN14" t="n">
        <v>0</v>
      </c>
    </row>
    <row r="15" ht="12.75" customHeight="1">
      <c r="A15" s="41" t="n"/>
      <c r="B15" s="26" t="inlineStr">
        <is>
          <t>Blue Pianta</t>
        </is>
      </c>
      <c r="C15" s="30" t="inlineStr">
        <is>
          <t>RF</t>
        </is>
      </c>
      <c r="D15" t="n">
        <v>3</v>
      </c>
      <c r="E15" t="n">
        <v>3</v>
      </c>
      <c r="F15" t="n">
        <v>0</v>
      </c>
      <c r="G15" t="n">
        <v>3</v>
      </c>
      <c r="H15" t="n">
        <v>4</v>
      </c>
      <c r="I15" t="n">
        <v>0</v>
      </c>
      <c r="J15" t="n">
        <v>0</v>
      </c>
      <c r="K15" t="n">
        <v>0</v>
      </c>
      <c r="L15" t="n">
        <v>2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</v>
      </c>
      <c r="V15" t="n">
        <v>0</v>
      </c>
      <c r="W15" t="n">
        <v>0</v>
      </c>
      <c r="X15" t="n">
        <v>0</v>
      </c>
      <c r="Y15" s="8" t="n">
        <v>1</v>
      </c>
      <c r="Z15" s="8" t="n">
        <v>1</v>
      </c>
      <c r="AA15" s="8" t="n">
        <v>1.333333333333333</v>
      </c>
      <c r="AB15" s="8" t="n">
        <v>2.333333333333333</v>
      </c>
      <c r="AC15" s="8" t="n"/>
      <c r="AD15" t="n">
        <v>0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s="5" t="n">
        <v>0</v>
      </c>
      <c r="AN15" t="n">
        <v>0</v>
      </c>
    </row>
    <row r="16" ht="12.75" customHeight="1">
      <c r="A16" s="41" t="n"/>
      <c r="B16" s="26" t="inlineStr">
        <is>
          <t>Blue Noki</t>
        </is>
      </c>
      <c r="C16" s="30" t="inlineStr">
        <is>
          <t>CF</t>
        </is>
      </c>
      <c r="D16" t="n">
        <v>3</v>
      </c>
      <c r="E16" t="n">
        <v>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s="8" t="n">
        <v>0</v>
      </c>
      <c r="Z16" s="8" t="n">
        <v>0</v>
      </c>
      <c r="AA16" s="8" t="n">
        <v>0</v>
      </c>
      <c r="AB16" s="8" t="n">
        <v>0</v>
      </c>
      <c r="AC16" s="8" t="n"/>
      <c r="AD16" t="n">
        <v>0</v>
      </c>
      <c r="AE16" t="n">
        <v>0</v>
      </c>
      <c r="AF16" t="n">
        <v>0</v>
      </c>
      <c r="AG16" t="n">
        <v>4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s="5" t="n">
        <v>0</v>
      </c>
      <c r="AN16" t="n">
        <v>0</v>
      </c>
    </row>
    <row r="17" ht="12.75" customHeight="1">
      <c r="A17" s="41" t="n"/>
      <c r="B17" s="26" t="inlineStr">
        <is>
          <t>Blue Mii (F)</t>
        </is>
      </c>
      <c r="C17" s="30" t="inlineStr">
        <is>
          <t>LF</t>
        </is>
      </c>
      <c r="D17" t="n">
        <v>4</v>
      </c>
      <c r="E17" t="n">
        <v>4</v>
      </c>
      <c r="F17" t="n">
        <v>0</v>
      </c>
      <c r="G17" t="n">
        <v>2</v>
      </c>
      <c r="H17" t="n">
        <v>0</v>
      </c>
      <c r="I17" t="n">
        <v>0</v>
      </c>
      <c r="J17" t="n">
        <v>0</v>
      </c>
      <c r="K17" t="n">
        <v>0</v>
      </c>
      <c r="L17" t="n">
        <v>2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0</v>
      </c>
      <c r="W17" t="n">
        <v>0</v>
      </c>
      <c r="X17" t="n">
        <v>0</v>
      </c>
      <c r="Y17" s="8" t="n">
        <v>0.5</v>
      </c>
      <c r="Z17" s="8" t="n">
        <v>0.5</v>
      </c>
      <c r="AA17" s="8" t="n">
        <v>0.5</v>
      </c>
      <c r="AB17" s="8" t="n">
        <v>1</v>
      </c>
      <c r="AC17" s="8" t="n"/>
      <c r="AD17" t="n">
        <v>0</v>
      </c>
      <c r="AE17" t="n">
        <v>0</v>
      </c>
      <c r="AF17" t="n">
        <v>0</v>
      </c>
      <c r="AG17" t="n">
        <v>4</v>
      </c>
      <c r="AH17" t="n">
        <v>1</v>
      </c>
      <c r="AI17" t="n">
        <v>1</v>
      </c>
      <c r="AJ17" t="n">
        <v>1</v>
      </c>
      <c r="AK17" t="n">
        <v>0</v>
      </c>
      <c r="AL17" t="n">
        <v>0</v>
      </c>
      <c r="AM17" s="5" t="n">
        <v>0</v>
      </c>
      <c r="AN17" t="n">
        <v>0</v>
      </c>
    </row>
    <row r="18" ht="12.75" customHeight="1">
      <c r="A18" s="41" t="n"/>
      <c r="B18" s="26" t="inlineStr">
        <is>
          <t>Blue Shy Guy</t>
        </is>
      </c>
      <c r="C18" s="30" t="inlineStr">
        <is>
          <t>SS</t>
        </is>
      </c>
      <c r="D18" t="n">
        <v>4</v>
      </c>
      <c r="E18" t="n">
        <v>4</v>
      </c>
      <c r="F18" t="n">
        <v>0</v>
      </c>
      <c r="G18" t="n">
        <v>2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</v>
      </c>
      <c r="V18" t="n">
        <v>0</v>
      </c>
      <c r="W18" t="n">
        <v>1</v>
      </c>
      <c r="X18" t="n">
        <v>1</v>
      </c>
      <c r="Y18" s="8" t="n">
        <v>0.5</v>
      </c>
      <c r="Z18" s="8" t="n">
        <v>0.5</v>
      </c>
      <c r="AA18" s="8" t="n">
        <v>0.75</v>
      </c>
      <c r="AB18" s="8" t="n">
        <v>1.25</v>
      </c>
      <c r="AC18" s="8" t="n">
        <v>1</v>
      </c>
      <c r="AD18" t="n">
        <v>0</v>
      </c>
      <c r="AE18" t="n">
        <v>0</v>
      </c>
      <c r="AF18" t="n">
        <v>0</v>
      </c>
      <c r="AG18" t="n">
        <v>2</v>
      </c>
      <c r="AH18" t="n">
        <v>4</v>
      </c>
      <c r="AI18" t="n">
        <v>0</v>
      </c>
      <c r="AJ18" t="n">
        <v>0</v>
      </c>
      <c r="AK18" t="n">
        <v>1</v>
      </c>
      <c r="AL18" t="n">
        <v>0</v>
      </c>
      <c r="AM18" s="5" t="n">
        <v>0</v>
      </c>
      <c r="AN18" t="n">
        <v>1</v>
      </c>
    </row>
    <row r="19" ht="12.75" customHeight="1">
      <c r="A19" s="41" t="n"/>
      <c r="B19" s="26" t="inlineStr">
        <is>
          <t>Blue Yoshi</t>
        </is>
      </c>
      <c r="C19" s="30" t="inlineStr">
        <is>
          <t>2B</t>
        </is>
      </c>
      <c r="D19" t="n">
        <v>4</v>
      </c>
      <c r="E19" t="n">
        <v>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s="8" t="n">
        <v>0</v>
      </c>
      <c r="Z19" s="8" t="n">
        <v>0</v>
      </c>
      <c r="AA19" s="8" t="n">
        <v>0</v>
      </c>
      <c r="AB19" s="8" t="n">
        <v>0</v>
      </c>
      <c r="AC19" s="8" t="n"/>
      <c r="AD19" t="n">
        <v>0</v>
      </c>
      <c r="AE19" t="n">
        <v>0</v>
      </c>
      <c r="AF19" t="n">
        <v>0</v>
      </c>
      <c r="AG19" t="n">
        <v>4</v>
      </c>
      <c r="AH19" t="n">
        <v>2</v>
      </c>
      <c r="AI19" t="n">
        <v>0</v>
      </c>
      <c r="AJ19" t="n">
        <v>0</v>
      </c>
      <c r="AK19" t="n">
        <v>1</v>
      </c>
      <c r="AL19" t="n">
        <v>0</v>
      </c>
      <c r="AM19" s="5" t="n">
        <v>1</v>
      </c>
      <c r="AN19" t="n">
        <v>0</v>
      </c>
    </row>
    <row r="20" ht="12.75" customHeight="1">
      <c r="A20" s="41" t="n"/>
      <c r="B20" s="26" t="inlineStr">
        <is>
          <t>Baby Luigi</t>
        </is>
      </c>
      <c r="C20" s="30" t="inlineStr">
        <is>
          <t>3B</t>
        </is>
      </c>
      <c r="D20" t="n">
        <v>4</v>
      </c>
      <c r="E20" t="n">
        <v>4</v>
      </c>
      <c r="F20" t="n">
        <v>1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0</v>
      </c>
      <c r="Y20" s="8" t="n">
        <v>0.25</v>
      </c>
      <c r="Z20" s="8" t="n">
        <v>0.25</v>
      </c>
      <c r="AA20" s="8" t="n">
        <v>0.25</v>
      </c>
      <c r="AB20" s="8" t="n">
        <v>0.5</v>
      </c>
      <c r="AC20" s="8" t="n"/>
      <c r="AD20" t="n">
        <v>0</v>
      </c>
      <c r="AE20" t="n">
        <v>0</v>
      </c>
      <c r="AF20" t="n">
        <v>0</v>
      </c>
      <c r="AG20" t="n">
        <v>1</v>
      </c>
      <c r="AH20" t="n">
        <v>1</v>
      </c>
      <c r="AI20" t="n">
        <v>0</v>
      </c>
      <c r="AJ20" t="n">
        <v>0</v>
      </c>
      <c r="AK20" t="n">
        <v>0</v>
      </c>
      <c r="AL20" t="n">
        <v>0</v>
      </c>
      <c r="AM20" s="5" t="n">
        <v>0</v>
      </c>
      <c r="AN20" t="n">
        <v>0</v>
      </c>
    </row>
    <row r="21" ht="12.75" customHeight="1">
      <c r="A21" s="45" t="n"/>
      <c r="B21" s="28" t="inlineStr">
        <is>
          <t>Fireballs</t>
        </is>
      </c>
      <c r="C21" s="28" t="inlineStr">
        <is>
          <t>N/A</t>
        </is>
      </c>
      <c r="D21" s="3">
        <f>SUM(D12:D20)</f>
        <v/>
      </c>
      <c r="E21" s="3">
        <f>SUM(E12:E20)</f>
        <v/>
      </c>
      <c r="F21" s="3">
        <f>SUM(F12:F20)</f>
        <v/>
      </c>
      <c r="G21" s="3">
        <f>SUM(G12:G20)</f>
        <v/>
      </c>
      <c r="H21" s="3">
        <f>SUM(H12:H20)</f>
        <v/>
      </c>
      <c r="I21" s="3">
        <f>SUM(I12:I20)</f>
        <v/>
      </c>
      <c r="J21" s="3">
        <f>SUM(J12:J20)</f>
        <v/>
      </c>
      <c r="K21" s="3">
        <f>SUM(K12:K20)</f>
        <v/>
      </c>
      <c r="L21" s="3">
        <f>SUM(L12:L20)</f>
        <v/>
      </c>
      <c r="M21" s="3">
        <f>SUM(M12:M20)</f>
        <v/>
      </c>
      <c r="N21" s="3">
        <f>SUM(N12:N20)</f>
        <v/>
      </c>
      <c r="O21" s="3">
        <f>SUM(O12:O20)</f>
        <v/>
      </c>
      <c r="P21" s="3">
        <f>SUM(P12:P20)</f>
        <v/>
      </c>
      <c r="Q21" s="3">
        <f>SUM(Q12:Q20)</f>
        <v/>
      </c>
      <c r="R21" s="3">
        <f>SUM(R12:R20)</f>
        <v/>
      </c>
      <c r="S21" s="3">
        <f>SUM(S12:S20)</f>
        <v/>
      </c>
      <c r="T21" s="3">
        <f>SUM(T12:T20)</f>
        <v/>
      </c>
      <c r="U21" s="3">
        <f>SUM(U12:U20)</f>
        <v/>
      </c>
      <c r="V21" s="3">
        <f>SUM(V12:V20)</f>
        <v/>
      </c>
      <c r="W21" s="3">
        <f>SUM(W12:W20)</f>
        <v/>
      </c>
      <c r="X21" s="3">
        <f>SUM(X12:X20)</f>
        <v/>
      </c>
      <c r="Y21" s="10">
        <f>IF(D21=0,0,G21/D21)</f>
        <v/>
      </c>
      <c r="Z21" s="10">
        <f>IF(E21=0,0,(G21+J21+K21)/E21)</f>
        <v/>
      </c>
      <c r="AA21" s="10">
        <f>IF(D21=0,0,U21/D21)</f>
        <v/>
      </c>
      <c r="AB21" s="10">
        <f>Z21+AA21</f>
        <v/>
      </c>
      <c r="AC21" s="10">
        <f>IF(X21=0,0,SUM(AN12:AN20)/X21)</f>
        <v/>
      </c>
      <c r="AD21" s="3">
        <f>SUM(AD12:AD20)</f>
        <v/>
      </c>
      <c r="AE21" s="3">
        <f>SUM(AE12:AE20)</f>
        <v/>
      </c>
      <c r="AF21" s="3">
        <f>SUM(AF12:AF20)</f>
        <v/>
      </c>
      <c r="AG21" s="3">
        <f>SUM(AG12:AG20)</f>
        <v/>
      </c>
      <c r="AH21" s="3">
        <f>SUM(AH12:AH20)</f>
        <v/>
      </c>
      <c r="AI21" s="3">
        <f>SUM(AI12:AI20)</f>
        <v/>
      </c>
      <c r="AJ21" s="3">
        <f>SUM(AJ12:AJ20)</f>
        <v/>
      </c>
      <c r="AK21" s="3">
        <f>SUM(AK12:AK20)</f>
        <v/>
      </c>
      <c r="AL21" s="3">
        <f>SUM(AL12:AL20)</f>
        <v/>
      </c>
      <c r="AM21" s="3">
        <f>SUM(AM12:AM20)</f>
        <v/>
      </c>
      <c r="AN21" s="46" t="n"/>
    </row>
    <row r="22" ht="12.75" customHeight="1">
      <c r="A22" s="4" t="n"/>
    </row>
    <row r="29" ht="15.75" customHeight="1">
      <c r="C29" s="6" t="n"/>
    </row>
  </sheetData>
  <mergeCells count="2">
    <mergeCell ref="A12:A21"/>
    <mergeCell ref="A2:A11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Sheet2">
    <outlinePr summaryBelow="0" summaryRight="0"/>
    <pageSetUpPr/>
  </sheetPr>
  <dimension ref="A1:AE55"/>
  <sheetViews>
    <sheetView zoomScale="115" zoomScaleNormal="115" workbookViewId="0">
      <selection activeCell="C18" sqref="C18"/>
    </sheetView>
  </sheetViews>
  <sheetFormatPr baseColWidth="8" defaultColWidth="12.5703125" defaultRowHeight="15.75" customHeight="1"/>
  <cols>
    <col width="14.5703125" customWidth="1" min="1" max="1"/>
    <col width="19.28515625" customWidth="1" min="2" max="2"/>
    <col width="14" customWidth="1" min="3" max="3"/>
    <col width="15.42578125" customWidth="1" min="4" max="5"/>
    <col width="9.28515625" customWidth="1" min="6" max="6"/>
    <col width="8.42578125" customWidth="1" min="7" max="7"/>
    <col width="9" customWidth="1" min="9" max="9"/>
    <col width="11.140625" customWidth="1" min="11" max="11"/>
    <col width="14.42578125" customWidth="1" min="13" max="15"/>
    <col width="12.5703125" customWidth="1" min="18" max="18"/>
    <col width="15.5703125" customWidth="1" min="22" max="22"/>
    <col width="11.7109375" customWidth="1" min="26" max="26"/>
    <col hidden="1" width="13" customWidth="1" min="30" max="30"/>
    <col hidden="1" width="13" customWidth="1" min="31" max="31"/>
  </cols>
  <sheetData>
    <row r="1" ht="12.75" customHeight="1">
      <c r="A1" s="29" t="inlineStr">
        <is>
          <t>Player</t>
        </is>
      </c>
      <c r="B1" s="29" t="inlineStr">
        <is>
          <t>Team</t>
        </is>
      </c>
      <c r="C1" s="29" t="inlineStr">
        <is>
          <t>Batters Faced</t>
        </is>
      </c>
      <c r="D1" s="29" t="inlineStr">
        <is>
          <t>Innings Pitched</t>
        </is>
      </c>
      <c r="E1" s="29" t="inlineStr">
        <is>
          <t>Pitches</t>
        </is>
      </c>
      <c r="F1" s="29" t="inlineStr">
        <is>
          <t>Strikes</t>
        </is>
      </c>
      <c r="G1" s="29" t="inlineStr">
        <is>
          <t>Balls</t>
        </is>
      </c>
      <c r="H1" s="29" t="inlineStr">
        <is>
          <t>Strikeouts</t>
        </is>
      </c>
      <c r="I1" s="29" t="inlineStr">
        <is>
          <t>Walks</t>
        </is>
      </c>
      <c r="J1" s="29" t="inlineStr">
        <is>
          <t>Bean Balls</t>
        </is>
      </c>
      <c r="K1" s="29" t="inlineStr">
        <is>
          <t>Hits Allowed</t>
        </is>
      </c>
      <c r="L1" s="29" t="inlineStr">
        <is>
          <t>Runs Allowed</t>
        </is>
      </c>
      <c r="M1" s="29" t="inlineStr">
        <is>
          <t>Singles Allowed</t>
        </is>
      </c>
      <c r="N1" s="29" t="inlineStr">
        <is>
          <t>Doubles Allowed</t>
        </is>
      </c>
      <c r="O1" s="29" t="inlineStr">
        <is>
          <t>Triples Allowed</t>
        </is>
      </c>
      <c r="P1" s="29" t="inlineStr">
        <is>
          <t>HR Allowed</t>
        </is>
      </c>
      <c r="Q1" s="29" t="inlineStr">
        <is>
          <t>Earned Runs</t>
        </is>
      </c>
      <c r="R1" s="29" t="inlineStr">
        <is>
          <t>Inherited Runs</t>
        </is>
      </c>
      <c r="S1" s="29" t="inlineStr">
        <is>
          <t>Star Pitches</t>
        </is>
      </c>
      <c r="T1" s="29" t="inlineStr">
        <is>
          <t>Stars Used</t>
        </is>
      </c>
      <c r="U1" s="29" t="inlineStr">
        <is>
          <t>Pickoffs</t>
        </is>
      </c>
      <c r="V1" s="29" t="inlineStr">
        <is>
          <t>Pickoff Attempts</t>
        </is>
      </c>
      <c r="W1" s="29" t="inlineStr">
        <is>
          <t>ERA-7</t>
        </is>
      </c>
      <c r="X1" s="29" t="inlineStr">
        <is>
          <t>ERA-9</t>
        </is>
      </c>
      <c r="Y1" s="29" t="inlineStr">
        <is>
          <t>WHIP</t>
        </is>
      </c>
      <c r="Z1" s="29" t="inlineStr">
        <is>
          <t>BA Against</t>
        </is>
      </c>
      <c r="AA1" s="29" t="inlineStr">
        <is>
          <t>OB% Against</t>
        </is>
      </c>
      <c r="AB1" s="29" t="inlineStr">
        <is>
          <t>SLG Against</t>
        </is>
      </c>
      <c r="AC1" s="29" t="inlineStr">
        <is>
          <t>OPS Against</t>
        </is>
      </c>
      <c r="AD1" t="inlineStr">
        <is>
          <t>At-Bats Against Helper</t>
        </is>
      </c>
      <c r="AE1" t="inlineStr">
        <is>
          <t>Total Bases Allowed Helper</t>
        </is>
      </c>
    </row>
    <row r="2" ht="12.75" customHeight="1">
      <c r="A2" s="7" t="inlineStr">
        <is>
          <t>Blooper</t>
        </is>
      </c>
      <c r="B2" t="inlineStr">
        <is>
          <t>Spitballs</t>
        </is>
      </c>
      <c r="C2" s="22" t="n">
        <v>7</v>
      </c>
      <c r="D2" s="11" t="n">
        <v>1</v>
      </c>
      <c r="E2" t="n">
        <v>13</v>
      </c>
      <c r="F2" t="n">
        <v>5</v>
      </c>
      <c r="G2" t="n">
        <v>1</v>
      </c>
      <c r="H2" t="n">
        <v>0</v>
      </c>
      <c r="I2" t="n">
        <v>0</v>
      </c>
      <c r="J2" t="n">
        <v>0</v>
      </c>
      <c r="K2" t="n">
        <v>5</v>
      </c>
      <c r="L2" t="n">
        <v>4</v>
      </c>
      <c r="M2" t="n">
        <v>4</v>
      </c>
      <c r="N2" t="n">
        <v>0</v>
      </c>
      <c r="O2" t="n">
        <v>1</v>
      </c>
      <c r="P2" t="n">
        <v>0</v>
      </c>
      <c r="Q2" t="n">
        <v>4</v>
      </c>
      <c r="R2" t="n">
        <v>0</v>
      </c>
      <c r="S2" t="n">
        <v>2</v>
      </c>
      <c r="T2" t="n">
        <v>2</v>
      </c>
      <c r="U2" t="n">
        <v>0</v>
      </c>
      <c r="V2" t="n">
        <v>0</v>
      </c>
      <c r="W2" s="8" t="n">
        <v>28</v>
      </c>
      <c r="X2" s="8" t="n">
        <v>36</v>
      </c>
      <c r="Y2" s="8" t="n">
        <v>5</v>
      </c>
      <c r="Z2" s="8" t="n">
        <v>0.7142857142857143</v>
      </c>
      <c r="AA2" s="8" t="n">
        <v>0.7142857142857143</v>
      </c>
      <c r="AB2" s="8" t="n">
        <v>1</v>
      </c>
      <c r="AC2" s="8" t="n">
        <v>1.714285714285714</v>
      </c>
      <c r="AD2" t="n">
        <v>7</v>
      </c>
      <c r="AE2" t="n">
        <v>7</v>
      </c>
    </row>
    <row r="3" ht="12.75" customHeight="1">
      <c r="A3" s="7" t="inlineStr">
        <is>
          <t>Waluigi</t>
        </is>
      </c>
      <c r="B3" t="inlineStr">
        <is>
          <t>Spitballs</t>
        </is>
      </c>
      <c r="C3" s="22" t="n">
        <v>10</v>
      </c>
      <c r="D3" s="11" t="n">
        <v>2.333333333333333</v>
      </c>
      <c r="E3" t="n">
        <v>15</v>
      </c>
      <c r="F3" t="n">
        <v>5</v>
      </c>
      <c r="G3" t="n">
        <v>0</v>
      </c>
      <c r="H3" t="n">
        <v>0</v>
      </c>
      <c r="I3" t="n">
        <v>0</v>
      </c>
      <c r="J3" t="n">
        <v>0</v>
      </c>
      <c r="K3" t="n">
        <v>4</v>
      </c>
      <c r="L3" t="n">
        <v>1</v>
      </c>
      <c r="M3" t="n">
        <v>3</v>
      </c>
      <c r="N3" t="n">
        <v>1</v>
      </c>
      <c r="O3" t="n">
        <v>0</v>
      </c>
      <c r="P3" t="n">
        <v>0</v>
      </c>
      <c r="Q3" t="n">
        <v>1</v>
      </c>
      <c r="R3" t="n">
        <v>1</v>
      </c>
      <c r="S3" t="n">
        <v>5</v>
      </c>
      <c r="T3" t="n">
        <v>5</v>
      </c>
      <c r="U3" t="n">
        <v>0</v>
      </c>
      <c r="V3" t="n">
        <v>0</v>
      </c>
      <c r="W3" s="8" t="n">
        <v>3</v>
      </c>
      <c r="X3" s="8" t="n">
        <v>3.857142857142857</v>
      </c>
      <c r="Y3" s="8" t="n">
        <v>1.714285714285714</v>
      </c>
      <c r="Z3" s="8" t="n">
        <v>0.4</v>
      </c>
      <c r="AA3" s="8" t="n">
        <v>0.4</v>
      </c>
      <c r="AB3" s="8" t="n">
        <v>0.5</v>
      </c>
      <c r="AC3" s="8" t="n">
        <v>0.9</v>
      </c>
      <c r="AD3" t="n">
        <v>10</v>
      </c>
      <c r="AE3" t="n">
        <v>5</v>
      </c>
    </row>
    <row r="4" ht="12.75" customHeight="1">
      <c r="A4" s="7" t="inlineStr">
        <is>
          <t>King Boo</t>
        </is>
      </c>
      <c r="B4" t="inlineStr">
        <is>
          <t>Spitballs</t>
        </is>
      </c>
      <c r="C4" s="22" t="n">
        <v>5</v>
      </c>
      <c r="D4" s="11" t="n">
        <v>1.666666666666667</v>
      </c>
      <c r="E4" t="n">
        <v>9</v>
      </c>
      <c r="F4" t="n">
        <v>4</v>
      </c>
      <c r="G4" t="n">
        <v>0</v>
      </c>
      <c r="H4" t="n">
        <v>0</v>
      </c>
      <c r="I4" t="n">
        <v>0</v>
      </c>
      <c r="J4" t="n">
        <v>0</v>
      </c>
      <c r="K4" t="n">
        <v>2</v>
      </c>
      <c r="L4" t="n">
        <v>0</v>
      </c>
      <c r="M4" t="n">
        <v>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</v>
      </c>
      <c r="T4" t="n">
        <v>5</v>
      </c>
      <c r="U4" t="n">
        <v>0</v>
      </c>
      <c r="V4" t="n">
        <v>0</v>
      </c>
      <c r="W4" s="8" t="n">
        <v>0</v>
      </c>
      <c r="X4" s="8" t="n">
        <v>0</v>
      </c>
      <c r="Y4" s="8" t="n">
        <v>1.2</v>
      </c>
      <c r="Z4" s="8" t="n">
        <v>0.4</v>
      </c>
      <c r="AA4" s="8" t="n">
        <v>0.4</v>
      </c>
      <c r="AB4" s="8" t="n">
        <v>0.4</v>
      </c>
      <c r="AC4" s="8" t="n">
        <v>0.8</v>
      </c>
      <c r="AD4" t="n">
        <v>5</v>
      </c>
      <c r="AE4" t="n">
        <v>2</v>
      </c>
    </row>
    <row r="5" ht="12.75" customHeight="1">
      <c r="A5" s="7" t="inlineStr">
        <is>
          <t>Petey Piranha</t>
        </is>
      </c>
      <c r="B5" t="inlineStr">
        <is>
          <t>Spitballs</t>
        </is>
      </c>
      <c r="C5" s="22" t="n">
        <v>4</v>
      </c>
      <c r="D5" s="11" t="n">
        <v>0</v>
      </c>
      <c r="E5" t="n">
        <v>6</v>
      </c>
      <c r="F5" t="n">
        <v>2</v>
      </c>
      <c r="G5" t="n">
        <v>0</v>
      </c>
      <c r="H5" t="n">
        <v>0</v>
      </c>
      <c r="I5" t="n">
        <v>0</v>
      </c>
      <c r="J5" t="n">
        <v>0</v>
      </c>
      <c r="K5" t="n">
        <v>4</v>
      </c>
      <c r="L5" t="n">
        <v>2</v>
      </c>
      <c r="M5" t="n">
        <v>4</v>
      </c>
      <c r="N5" t="n">
        <v>0</v>
      </c>
      <c r="O5" t="n">
        <v>0</v>
      </c>
      <c r="P5" t="n">
        <v>0</v>
      </c>
      <c r="Q5" t="n">
        <v>2</v>
      </c>
      <c r="R5" t="n">
        <v>0</v>
      </c>
      <c r="S5" t="n">
        <v>2</v>
      </c>
      <c r="T5" t="n">
        <v>2</v>
      </c>
      <c r="U5" t="n">
        <v>0</v>
      </c>
      <c r="V5" t="n">
        <v>0</v>
      </c>
      <c r="W5" s="12" t="inlineStr">
        <is>
          <t>INF</t>
        </is>
      </c>
      <c r="X5" s="8" t="inlineStr">
        <is>
          <t>INF</t>
        </is>
      </c>
      <c r="Y5" s="8" t="inlineStr">
        <is>
          <t>INF</t>
        </is>
      </c>
      <c r="Z5" s="8" t="n">
        <v>1</v>
      </c>
      <c r="AA5" s="8" t="n">
        <v>1</v>
      </c>
      <c r="AB5" s="8" t="n">
        <v>1</v>
      </c>
      <c r="AC5" s="8" t="n">
        <v>2</v>
      </c>
      <c r="AD5" t="n">
        <v>4</v>
      </c>
      <c r="AE5" t="n">
        <v>4</v>
      </c>
    </row>
    <row r="6" ht="12.75" customHeight="1">
      <c r="A6" s="7" t="inlineStr">
        <is>
          <t>Red Koopa Troopa</t>
        </is>
      </c>
      <c r="B6" t="inlineStr">
        <is>
          <t>Spitballs</t>
        </is>
      </c>
      <c r="C6" s="22" t="n">
        <v>7</v>
      </c>
      <c r="D6" s="11" t="n">
        <v>2</v>
      </c>
      <c r="E6" t="n">
        <v>12</v>
      </c>
      <c r="F6" t="n">
        <v>4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s="8" t="n">
        <v>0</v>
      </c>
      <c r="X6" s="8" t="n">
        <v>0</v>
      </c>
      <c r="Y6" s="8" t="n">
        <v>0.5</v>
      </c>
      <c r="Z6" s="8" t="n">
        <v>0.1428571428571428</v>
      </c>
      <c r="AA6" s="8" t="n">
        <v>0.1428571428571428</v>
      </c>
      <c r="AB6" s="8" t="n">
        <v>0.2857142857142857</v>
      </c>
      <c r="AC6" s="8" t="n">
        <v>0.4285714285714285</v>
      </c>
      <c r="AD6" t="n">
        <v>7</v>
      </c>
      <c r="AE6" t="n">
        <v>2</v>
      </c>
    </row>
    <row r="7" ht="12.75" customHeight="1">
      <c r="A7" s="7" t="inlineStr">
        <is>
          <t>Red Pianta</t>
        </is>
      </c>
      <c r="B7" t="inlineStr">
        <is>
          <t>Fireballs</t>
        </is>
      </c>
      <c r="C7" s="22" t="n">
        <v>32</v>
      </c>
      <c r="D7" s="11" t="n">
        <v>8</v>
      </c>
      <c r="E7" t="n">
        <v>53</v>
      </c>
      <c r="F7" t="n">
        <v>19</v>
      </c>
      <c r="G7" t="n">
        <v>3</v>
      </c>
      <c r="H7" t="n">
        <v>1</v>
      </c>
      <c r="I7" t="n">
        <v>0</v>
      </c>
      <c r="J7" t="n">
        <v>0</v>
      </c>
      <c r="K7" t="n">
        <v>11</v>
      </c>
      <c r="L7" t="n">
        <v>3</v>
      </c>
      <c r="M7" t="n">
        <v>11</v>
      </c>
      <c r="N7" t="n">
        <v>0</v>
      </c>
      <c r="O7" t="n">
        <v>0</v>
      </c>
      <c r="P7" t="n">
        <v>0</v>
      </c>
      <c r="Q7" t="n">
        <v>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s="8" t="n">
        <v>2.625</v>
      </c>
      <c r="X7" s="8" t="n">
        <v>3.375</v>
      </c>
      <c r="Y7" s="8" t="n">
        <v>1.375</v>
      </c>
      <c r="Z7" s="8" t="n">
        <v>0.34375</v>
      </c>
      <c r="AA7" s="8" t="n">
        <v>0.34375</v>
      </c>
      <c r="AB7" s="8" t="n">
        <v>0.34375</v>
      </c>
      <c r="AC7" s="8" t="n">
        <v>0.6875</v>
      </c>
      <c r="AD7" t="n">
        <v>32</v>
      </c>
      <c r="AE7" t="n">
        <v>11</v>
      </c>
    </row>
    <row r="8" ht="12.75" customHeight="1">
      <c r="A8" s="47" t="inlineStr">
        <is>
          <t>Spitballs Totals</t>
        </is>
      </c>
      <c r="B8" s="43" t="inlineStr">
        <is>
          <t>Spitballs</t>
        </is>
      </c>
      <c r="C8" s="48">
        <f>SUM(C2:C6)</f>
        <v/>
      </c>
      <c r="D8" s="49">
        <f>SUM(D2:D6)</f>
        <v/>
      </c>
      <c r="E8" s="43">
        <f>SUM(E2:E6)</f>
        <v/>
      </c>
      <c r="F8" s="43">
        <f>SUM(F2:F6)</f>
        <v/>
      </c>
      <c r="G8" s="43">
        <f>SUM(G2:G6)</f>
        <v/>
      </c>
      <c r="H8" s="43">
        <f>SUM(H2:H6)</f>
        <v/>
      </c>
      <c r="I8" s="43">
        <f>SUM(I2:I6)</f>
        <v/>
      </c>
      <c r="J8" s="43">
        <f>SUM(J2:J6)</f>
        <v/>
      </c>
      <c r="K8" s="43">
        <f>SUM(K2:K6)</f>
        <v/>
      </c>
      <c r="L8" s="43">
        <f>SUM(L2:L6)</f>
        <v/>
      </c>
      <c r="M8" s="43">
        <f>SUM(M2:M6)</f>
        <v/>
      </c>
      <c r="N8" s="43">
        <f>SUM(N2:N6)</f>
        <v/>
      </c>
      <c r="O8" s="43">
        <f>SUM(O2:O6)</f>
        <v/>
      </c>
      <c r="P8" s="43">
        <f>SUM(P2:P6)</f>
        <v/>
      </c>
      <c r="Q8" s="43">
        <f>SUM(Q2:Q6)</f>
        <v/>
      </c>
      <c r="R8" s="43">
        <f>SUM(R2:R6)</f>
        <v/>
      </c>
      <c r="S8" s="43">
        <f>SUM(S2:S6)</f>
        <v/>
      </c>
      <c r="T8" s="43">
        <f>SUM(T2:T6)</f>
        <v/>
      </c>
      <c r="U8" s="43">
        <f>SUM(U2:U6)</f>
        <v/>
      </c>
      <c r="V8" s="43">
        <f>SUM(V2:V6)</f>
        <v/>
      </c>
      <c r="W8" s="50">
        <f>IF(D8=0,"INF",Q8*7/D8)</f>
        <v/>
      </c>
      <c r="X8" s="50">
        <f>IF(D8=0,"INF",Q8*9/D8)</f>
        <v/>
      </c>
      <c r="Y8" s="50">
        <f>IF(D8=0,"INF",(I8+K8)/D8)</f>
        <v/>
      </c>
      <c r="Z8" s="50">
        <f>IF(SUM(AD2:AD6)=0,0,SUM(K2:K6)/SUM(AD2:AD6))</f>
        <v/>
      </c>
      <c r="AA8" s="50">
        <f>IF(SUM(C2:C6)=0,0,(SUM(K2:K6)+SUM(I2:I6)+SUM(J2:J6))/SUM(C2:C6))</f>
        <v/>
      </c>
      <c r="AB8" s="50">
        <f>IF(SUM(AD2:AD6)=0,0,SUM(AE2:AE6)/SUM(AD2:AD6))</f>
        <v/>
      </c>
      <c r="AC8" s="50">
        <f>AA8+AB8</f>
        <v/>
      </c>
      <c r="AD8" s="43" t="n"/>
      <c r="AE8" s="43" t="n"/>
    </row>
    <row r="9" ht="12.75" customHeight="1">
      <c r="A9" s="51" t="inlineStr">
        <is>
          <t>Fireballs Totals</t>
        </is>
      </c>
      <c r="B9" s="46" t="inlineStr">
        <is>
          <t>Fireballs</t>
        </is>
      </c>
      <c r="C9" s="52">
        <f>SUM(C7:C7)</f>
        <v/>
      </c>
      <c r="D9" s="53">
        <f>SUM(D7:D7)</f>
        <v/>
      </c>
      <c r="E9" s="46">
        <f>SUM(E7:E7)</f>
        <v/>
      </c>
      <c r="F9" s="46">
        <f>SUM(F7:F7)</f>
        <v/>
      </c>
      <c r="G9" s="46">
        <f>SUM(G7:G7)</f>
        <v/>
      </c>
      <c r="H9" s="46">
        <f>SUM(H7:H7)</f>
        <v/>
      </c>
      <c r="I9" s="46">
        <f>SUM(I7:I7)</f>
        <v/>
      </c>
      <c r="J9" s="46">
        <f>SUM(J7:J7)</f>
        <v/>
      </c>
      <c r="K9" s="46">
        <f>SUM(K7:K7)</f>
        <v/>
      </c>
      <c r="L9" s="46">
        <f>SUM(L7:L7)</f>
        <v/>
      </c>
      <c r="M9" s="46">
        <f>SUM(M7:M7)</f>
        <v/>
      </c>
      <c r="N9" s="46">
        <f>SUM(N7:N7)</f>
        <v/>
      </c>
      <c r="O9" s="46">
        <f>SUM(O7:O7)</f>
        <v/>
      </c>
      <c r="P9" s="46">
        <f>SUM(P7:P7)</f>
        <v/>
      </c>
      <c r="Q9" s="46">
        <f>SUM(Q7:Q7)</f>
        <v/>
      </c>
      <c r="R9" s="46">
        <f>SUM(R7:R7)</f>
        <v/>
      </c>
      <c r="S9" s="46">
        <f>SUM(S7:S7)</f>
        <v/>
      </c>
      <c r="T9" s="46">
        <f>SUM(T7:T7)</f>
        <v/>
      </c>
      <c r="U9" s="46">
        <f>SUM(U7:U7)</f>
        <v/>
      </c>
      <c r="V9" s="46">
        <f>SUM(V7:V7)</f>
        <v/>
      </c>
      <c r="W9" s="54">
        <f>IF(D9=0,"INF",Q9*7/D9)</f>
        <v/>
      </c>
      <c r="X9" s="54">
        <f>IF(D9=0,"INF",Q9*9/D9)</f>
        <v/>
      </c>
      <c r="Y9" s="54">
        <f>IF(D9=0,"INF",(I9+K9)/D9)</f>
        <v/>
      </c>
      <c r="Z9" s="54">
        <f>IF(SUM(AD7:AD7)=0,0,SUM(K7:K7)/SUM(AD7:AD7))</f>
        <v/>
      </c>
      <c r="AA9" s="54">
        <f>IF(SUM(C7:C7)=0,0,(SUM(K7:K7)+SUM(I7:I7)+SUM(J7:J7))/SUM(C7:C7))</f>
        <v/>
      </c>
      <c r="AB9" s="54">
        <f>IF(SUM(AD7:AD7)=0,0,SUM(AE7:AE7)/SUM(AD7:AD7))</f>
        <v/>
      </c>
      <c r="AC9" s="54">
        <f>AA9+AB9</f>
        <v/>
      </c>
      <c r="AD9" s="46" t="n"/>
      <c r="AE9" s="46" t="n"/>
    </row>
    <row r="10" ht="12.75" customHeight="1">
      <c r="A10" s="7" t="n"/>
      <c r="C10" s="22" t="n"/>
      <c r="D10" s="11" t="n"/>
      <c r="W10" s="8" t="n"/>
      <c r="X10" s="8" t="n"/>
      <c r="Y10" s="8" t="n"/>
      <c r="Z10" s="8" t="n"/>
      <c r="AA10" s="8" t="n"/>
      <c r="AB10" s="8" t="n"/>
      <c r="AC10" s="8" t="n"/>
    </row>
    <row r="11" ht="12.75" customHeight="1">
      <c r="A11" s="6" t="n"/>
      <c r="B11" s="1" t="n"/>
      <c r="C11" s="22" t="n"/>
      <c r="D11" s="11" t="n"/>
      <c r="W11" s="8" t="n"/>
      <c r="X11" s="8" t="n"/>
      <c r="Y11" s="8" t="n"/>
      <c r="Z11" s="8" t="n"/>
      <c r="AA11" s="8" t="n"/>
      <c r="AB11" s="8" t="n"/>
      <c r="AC11" s="8" t="n"/>
    </row>
    <row r="12" ht="15.75" customHeight="1">
      <c r="A12" s="6" t="n"/>
      <c r="C12" s="22" t="n"/>
      <c r="D12" s="11" t="n"/>
      <c r="W12" s="8" t="n"/>
      <c r="X12" s="8" t="n"/>
      <c r="Y12" s="8" t="n"/>
      <c r="Z12" s="8" t="n"/>
      <c r="AA12" s="8" t="n"/>
      <c r="AB12" s="8" t="n"/>
      <c r="AC12" s="8" t="n"/>
    </row>
    <row r="13" ht="15.75" customHeight="1">
      <c r="A13" s="6" t="n"/>
      <c r="C13" s="22" t="n"/>
      <c r="D13" s="11" t="n"/>
      <c r="W13" s="8" t="n"/>
      <c r="X13" s="8" t="n"/>
      <c r="Y13" s="8" t="n"/>
      <c r="Z13" s="8" t="n"/>
      <c r="AA13" s="8" t="n"/>
      <c r="AB13" s="8" t="n"/>
      <c r="AC13" s="8" t="n"/>
    </row>
    <row r="14" ht="15.75" customHeight="1">
      <c r="A14" s="6" t="n"/>
      <c r="C14" s="22" t="n"/>
      <c r="D14" s="11" t="n"/>
      <c r="W14" s="8" t="n"/>
      <c r="X14" s="8" t="n"/>
      <c r="Y14" s="8" t="n"/>
      <c r="Z14" s="8" t="n"/>
      <c r="AA14" s="8" t="n"/>
      <c r="AB14" s="8" t="n"/>
      <c r="AC14" s="8" t="n"/>
    </row>
    <row r="15" ht="15.75" customHeight="1">
      <c r="A15" s="6" t="n"/>
      <c r="C15" s="22" t="n"/>
      <c r="D15" s="11" t="n"/>
      <c r="W15" s="8" t="n"/>
      <c r="X15" s="8" t="n"/>
      <c r="Y15" s="8" t="n"/>
      <c r="Z15" s="8" t="n"/>
      <c r="AA15" s="8" t="n"/>
      <c r="AB15" s="8" t="n"/>
      <c r="AC15" s="8" t="n"/>
    </row>
    <row r="16" ht="15.75" customHeight="1">
      <c r="A16" s="6" t="n"/>
      <c r="C16" s="22" t="n"/>
      <c r="D16" s="11" t="n"/>
      <c r="W16" s="8" t="n"/>
      <c r="X16" s="8" t="n"/>
      <c r="Y16" s="8" t="n"/>
      <c r="Z16" s="8" t="n"/>
      <c r="AA16" s="8" t="n"/>
      <c r="AB16" s="8" t="n"/>
      <c r="AC16" s="8" t="n"/>
    </row>
    <row r="17" ht="15.75" customHeight="1">
      <c r="A17" s="6" t="n"/>
      <c r="C17" s="22" t="n"/>
      <c r="D17" s="11" t="n"/>
      <c r="W17" s="8" t="n"/>
      <c r="X17" s="8" t="n"/>
      <c r="Y17" s="8" t="n"/>
      <c r="Z17" s="8" t="n"/>
      <c r="AA17" s="8" t="n"/>
      <c r="AB17" s="8" t="n"/>
      <c r="AC17" s="8" t="n"/>
    </row>
    <row r="18" ht="15.75" customHeight="1">
      <c r="A18" s="6" t="n"/>
      <c r="C18" s="22" t="n"/>
      <c r="D18" s="11" t="n"/>
      <c r="W18" s="8" t="n"/>
      <c r="X18" s="8" t="n"/>
      <c r="Y18" s="8" t="n"/>
      <c r="Z18" s="8" t="n"/>
      <c r="AA18" s="8" t="n"/>
      <c r="AB18" s="8" t="n"/>
      <c r="AC18" s="8" t="n"/>
    </row>
    <row r="19" ht="15.75" customHeight="1">
      <c r="A19" s="6" t="n"/>
      <c r="C19" s="22" t="n"/>
      <c r="D19" s="11" t="n"/>
      <c r="W19" s="8" t="n"/>
      <c r="X19" s="8" t="n"/>
      <c r="Y19" s="8" t="n"/>
      <c r="Z19" s="8" t="n"/>
      <c r="AA19" s="8" t="n"/>
      <c r="AB19" s="8" t="n"/>
      <c r="AC19" s="8" t="n"/>
    </row>
    <row r="20" ht="15.75" customHeight="1">
      <c r="A20" s="6" t="n"/>
      <c r="C20" s="22" t="n"/>
      <c r="D20" s="11" t="n"/>
      <c r="W20" s="8" t="n"/>
      <c r="X20" s="8" t="n"/>
      <c r="Y20" s="8" t="n"/>
      <c r="Z20" s="8" t="n"/>
      <c r="AA20" s="8" t="n"/>
      <c r="AB20" s="8" t="n"/>
      <c r="AC20" s="8" t="n"/>
    </row>
    <row r="21" ht="15.75" customHeight="1">
      <c r="A21" s="6" t="n"/>
      <c r="C21" s="22" t="n"/>
      <c r="D21" s="11" t="n"/>
      <c r="W21" s="8" t="n"/>
      <c r="X21" s="8" t="n"/>
      <c r="Y21" s="8" t="n"/>
      <c r="Z21" s="8" t="n"/>
      <c r="AA21" s="8" t="n"/>
      <c r="AB21" s="8" t="n"/>
      <c r="AC21" s="8" t="n"/>
    </row>
    <row r="22" ht="15.75" customHeight="1">
      <c r="A22" s="6" t="n"/>
      <c r="C22" s="22" t="n"/>
      <c r="D22" s="11" t="n"/>
      <c r="X22" s="8" t="n"/>
      <c r="Y22" s="8" t="n"/>
      <c r="Z22" s="8" t="n"/>
      <c r="AA22" s="8" t="n"/>
      <c r="AB22" s="8" t="n"/>
      <c r="AC22" s="8" t="n"/>
    </row>
    <row r="23" ht="15.75" customHeight="1">
      <c r="A23" s="6" t="n"/>
      <c r="C23" s="11" t="n"/>
      <c r="D23" s="11" t="n"/>
      <c r="X23" s="8" t="n"/>
      <c r="Y23" s="8" t="n"/>
      <c r="Z23" s="8" t="n"/>
      <c r="AA23" s="8" t="n"/>
      <c r="AB23" s="8" t="n"/>
      <c r="AC23" s="8" t="n"/>
    </row>
    <row r="24" ht="15.75" customHeight="1">
      <c r="A24" s="6" t="n"/>
      <c r="C24" s="11" t="n"/>
      <c r="X24" s="8" t="n"/>
      <c r="Y24" s="8" t="n"/>
      <c r="Z24" s="8" t="n"/>
      <c r="AA24" s="8" t="n"/>
      <c r="AB24" s="8" t="n"/>
      <c r="AC24" s="8" t="n"/>
    </row>
    <row r="25" ht="15.75" customHeight="1">
      <c r="A25" s="6" t="n"/>
      <c r="C25" s="11" t="n"/>
      <c r="X25" s="8" t="n"/>
      <c r="Y25" s="8" t="n"/>
      <c r="Z25" s="8" t="n"/>
      <c r="AA25" s="8" t="n"/>
      <c r="AB25" s="8" t="n"/>
      <c r="AC25" s="8" t="n"/>
    </row>
    <row r="26" ht="15.75" customHeight="1">
      <c r="A26" s="6" t="n"/>
      <c r="C26" s="11" t="n"/>
      <c r="X26" s="8" t="n"/>
      <c r="Y26" s="8" t="n"/>
      <c r="Z26" s="8" t="n"/>
      <c r="AA26" s="8" t="n"/>
      <c r="AB26" s="8" t="n"/>
      <c r="AC26" s="8" t="n"/>
    </row>
    <row r="27" ht="15.75" customHeight="1">
      <c r="C27" s="11" t="n"/>
      <c r="X27" s="8" t="n"/>
      <c r="Y27" s="8" t="n"/>
      <c r="Z27" s="8" t="n"/>
      <c r="AA27" s="8" t="n"/>
      <c r="AB27" s="8" t="n"/>
      <c r="AC27" s="8" t="n"/>
    </row>
    <row r="28" ht="15.75" customHeight="1">
      <c r="C28" s="11" t="n"/>
      <c r="X28" s="8" t="n"/>
      <c r="Y28" s="8" t="n"/>
      <c r="Z28" s="8" t="n"/>
      <c r="AA28" s="8" t="n"/>
      <c r="AB28" s="8" t="n"/>
      <c r="AC28" s="8" t="n"/>
    </row>
    <row r="29" ht="15.75" customHeight="1">
      <c r="C29" s="11" t="n"/>
      <c r="X29" s="8" t="n"/>
      <c r="Y29" s="8" t="n"/>
      <c r="Z29" s="8" t="n"/>
      <c r="AA29" s="8" t="n"/>
      <c r="AB29" s="8" t="n"/>
      <c r="AC29" s="8" t="n"/>
    </row>
    <row r="30" ht="15.75" customHeight="1">
      <c r="C30" s="11" t="n"/>
      <c r="X30" s="8" t="n"/>
      <c r="Y30" s="8" t="n"/>
      <c r="Z30" s="8" t="n"/>
      <c r="AA30" s="8" t="n"/>
      <c r="AB30" s="8" t="n"/>
      <c r="AC30" s="8" t="n"/>
    </row>
    <row r="31" ht="15.75" customHeight="1">
      <c r="C31" s="11" t="n"/>
      <c r="X31" s="8" t="n"/>
      <c r="Y31" s="8" t="n"/>
      <c r="Z31" s="8" t="n"/>
      <c r="AA31" s="8" t="n"/>
      <c r="AB31" s="8" t="n"/>
      <c r="AC31" s="8" t="n"/>
    </row>
    <row r="32" ht="15.75" customHeight="1">
      <c r="C32" s="11" t="n"/>
      <c r="X32" s="8" t="n"/>
      <c r="Y32" s="8" t="n"/>
      <c r="Z32" s="8" t="n"/>
      <c r="AA32" s="8" t="n"/>
      <c r="AB32" s="8" t="n"/>
      <c r="AC32" s="8" t="n"/>
    </row>
    <row r="33" ht="15.75" customHeight="1">
      <c r="C33" s="11" t="n"/>
      <c r="X33" s="8" t="n"/>
      <c r="Y33" s="8" t="n"/>
      <c r="Z33" s="8" t="n"/>
      <c r="AA33" s="8" t="n"/>
      <c r="AB33" s="8" t="n"/>
      <c r="AC33" s="8" t="n"/>
    </row>
    <row r="34" ht="15.75" customHeight="1">
      <c r="C34" s="11" t="n"/>
      <c r="X34" s="8" t="n"/>
      <c r="Y34" s="8" t="n"/>
      <c r="Z34" s="8" t="n"/>
      <c r="AA34" s="8" t="n"/>
      <c r="AB34" s="8" t="n"/>
      <c r="AC34" s="8" t="n"/>
    </row>
    <row r="35" ht="15.75" customHeight="1">
      <c r="C35" s="11" t="n"/>
      <c r="X35" s="8" t="n"/>
      <c r="Y35" s="8" t="n"/>
      <c r="Z35" s="8" t="n"/>
      <c r="AA35" s="8" t="n"/>
      <c r="AB35" s="8" t="n"/>
      <c r="AC35" s="8" t="n"/>
    </row>
    <row r="36" ht="15.75" customHeight="1">
      <c r="C36" s="11" t="n"/>
      <c r="X36" s="8" t="n"/>
      <c r="Y36" s="8" t="n"/>
      <c r="Z36" s="8" t="n"/>
      <c r="AA36" s="8" t="n"/>
      <c r="AB36" s="8" t="n"/>
      <c r="AC36" s="8" t="n"/>
    </row>
    <row r="37" ht="15.75" customHeight="1">
      <c r="C37" s="11" t="n"/>
      <c r="X37" s="8" t="n"/>
      <c r="Y37" s="8" t="n"/>
      <c r="Z37" s="8" t="n"/>
      <c r="AA37" s="8" t="n"/>
      <c r="AB37" s="8" t="n"/>
      <c r="AC37" s="8" t="n"/>
    </row>
    <row r="38" ht="15.75" customHeight="1">
      <c r="C38" s="11" t="n"/>
      <c r="X38" s="8" t="n"/>
      <c r="Y38" s="8" t="n"/>
      <c r="Z38" s="8" t="n"/>
      <c r="AA38" s="8" t="n"/>
      <c r="AB38" s="8" t="n"/>
      <c r="AC38" s="8" t="n"/>
    </row>
    <row r="39" ht="15.75" customHeight="1">
      <c r="C39" s="11" t="n"/>
      <c r="Z39" s="8" t="n"/>
      <c r="AA39" s="8" t="n"/>
      <c r="AB39" s="8" t="n"/>
      <c r="AC39" s="8" t="n"/>
    </row>
    <row r="40" ht="15.75" customHeight="1">
      <c r="C40" s="11" t="n"/>
      <c r="Z40" s="8" t="n"/>
      <c r="AA40" s="8" t="n"/>
      <c r="AB40" s="8" t="n"/>
      <c r="AC40" s="8" t="n"/>
    </row>
    <row r="41" ht="15.75" customHeight="1">
      <c r="C41" s="11" t="n"/>
      <c r="Z41" s="8" t="n"/>
      <c r="AA41" s="8" t="n"/>
      <c r="AB41" s="8" t="n"/>
      <c r="AC41" s="8" t="n"/>
    </row>
    <row r="42" ht="15.75" customHeight="1">
      <c r="C42" s="11" t="n"/>
      <c r="Z42" s="8" t="n"/>
      <c r="AA42" s="8" t="n"/>
      <c r="AB42" s="8" t="n"/>
      <c r="AC42" s="8" t="n"/>
    </row>
    <row r="43" ht="15.75" customHeight="1">
      <c r="C43" s="11" t="n"/>
      <c r="Z43" s="8" t="n"/>
      <c r="AA43" s="8" t="n"/>
      <c r="AB43" s="8" t="n"/>
      <c r="AC43" s="8" t="n"/>
    </row>
    <row r="44" ht="15.75" customHeight="1">
      <c r="C44" s="11" t="n"/>
      <c r="Z44" s="8" t="n"/>
      <c r="AA44" s="8" t="n"/>
      <c r="AB44" s="8" t="n"/>
      <c r="AC44" s="8" t="n"/>
    </row>
    <row r="45" ht="15.75" customHeight="1">
      <c r="C45" s="11" t="n"/>
      <c r="Z45" s="8" t="n"/>
      <c r="AA45" s="8" t="n"/>
      <c r="AB45" s="8" t="n"/>
      <c r="AC45" s="8" t="n"/>
    </row>
    <row r="46" ht="15.75" customHeight="1">
      <c r="C46" s="11" t="n"/>
      <c r="Z46" s="8" t="n"/>
      <c r="AA46" s="8" t="n"/>
      <c r="AB46" s="8" t="n"/>
      <c r="AC46" s="8" t="n"/>
    </row>
    <row r="47" ht="15.75" customHeight="1">
      <c r="C47" s="11" t="n"/>
      <c r="Z47" s="8" t="n"/>
      <c r="AA47" s="8" t="n"/>
      <c r="AB47" s="8" t="n"/>
      <c r="AC47" s="8" t="n"/>
    </row>
    <row r="48" ht="15.75" customHeight="1">
      <c r="C48" s="11" t="n"/>
      <c r="Z48" s="8" t="n"/>
      <c r="AA48" s="8" t="n"/>
      <c r="AB48" s="8" t="n"/>
      <c r="AC48" s="8" t="n"/>
    </row>
    <row r="49" ht="15.75" customHeight="1">
      <c r="C49" s="11" t="n"/>
      <c r="Z49" s="8" t="n"/>
      <c r="AA49" s="8" t="n"/>
      <c r="AB49" s="8" t="n"/>
      <c r="AC49" s="8" t="n"/>
    </row>
    <row r="50" ht="15.75" customHeight="1">
      <c r="C50" s="11" t="n"/>
      <c r="Z50" s="8" t="n"/>
      <c r="AA50" s="8" t="n"/>
      <c r="AB50" s="8" t="n"/>
      <c r="AC50" s="8" t="n"/>
    </row>
    <row r="51" ht="15.75" customHeight="1">
      <c r="C51" s="11" t="n"/>
      <c r="Z51" s="8" t="n"/>
      <c r="AA51" s="8" t="n"/>
      <c r="AB51" s="8" t="n"/>
      <c r="AC51" s="8" t="n"/>
    </row>
    <row r="52" ht="15.75" customHeight="1">
      <c r="C52" s="11" t="n"/>
      <c r="Z52" s="8" t="n"/>
      <c r="AA52" s="8" t="n"/>
      <c r="AB52" s="8" t="n"/>
      <c r="AC52" s="8" t="n"/>
    </row>
    <row r="53" ht="15.75" customHeight="1">
      <c r="C53" s="11" t="n"/>
      <c r="Z53" s="8" t="n"/>
      <c r="AA53" s="8" t="n"/>
      <c r="AB53" s="8" t="n"/>
      <c r="AC53" s="8" t="n"/>
    </row>
    <row r="54" ht="15.75" customHeight="1">
      <c r="C54" s="11" t="n"/>
      <c r="Z54" s="8" t="n"/>
      <c r="AA54" s="8" t="n"/>
      <c r="AB54" s="8" t="n"/>
      <c r="AC54" s="8" t="n"/>
    </row>
    <row r="55" ht="15.75" customHeight="1">
      <c r="C55" s="11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2026-08-10T00:29:07Z</dcterms:created>
  <dcterms:modified xsi:type="dcterms:W3CDTF">2026-08-12T00:54:56Z</dcterms:modified>
</cp:coreProperties>
</file>